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ES FOMESSO\Desktop\Elites school docs\Année 2026-2027 Elites Ngaikada\Progression sheets 2026-2027\"/>
    </mc:Choice>
  </mc:AlternateContent>
  <bookViews>
    <workbookView xWindow="0" yWindow="0" windowWidth="20490" windowHeight="7650"/>
  </bookViews>
  <sheets>
    <sheet name="Class xx trade" sheetId="1" r:id="rId1"/>
    <sheet name="Subjects per staff" sheetId="3" r:id="rId2"/>
  </sheets>
  <definedNames>
    <definedName name="_xlnm.Print_Area" localSheetId="1">'Subjects per staff'!$A$1:$H$230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02" i="3" l="1"/>
  <c r="I201" i="3"/>
  <c r="I200" i="3"/>
  <c r="I199" i="3"/>
  <c r="I198" i="3"/>
  <c r="I197" i="3"/>
  <c r="I196" i="3"/>
  <c r="I195" i="3"/>
  <c r="I194" i="3"/>
  <c r="I193" i="3"/>
  <c r="I192" i="3"/>
  <c r="I191" i="3"/>
  <c r="I190" i="3"/>
  <c r="I189" i="3"/>
  <c r="I188" i="3"/>
  <c r="I187" i="3"/>
  <c r="I186" i="3"/>
  <c r="I185" i="3"/>
  <c r="I184" i="3"/>
  <c r="I183" i="3"/>
  <c r="I182" i="3"/>
  <c r="I181" i="3"/>
  <c r="I180" i="3"/>
  <c r="I179" i="3"/>
  <c r="I178" i="3"/>
  <c r="I177" i="3"/>
  <c r="I176" i="3"/>
  <c r="I175" i="3"/>
  <c r="I174" i="3"/>
  <c r="I173" i="3"/>
  <c r="I172" i="3"/>
  <c r="I171" i="3"/>
  <c r="I170" i="3"/>
  <c r="I169" i="3"/>
  <c r="I168" i="3"/>
  <c r="I167" i="3"/>
  <c r="I166" i="3"/>
  <c r="I165" i="3"/>
  <c r="I164" i="3"/>
  <c r="I163" i="3"/>
  <c r="I162" i="3"/>
  <c r="I161" i="3"/>
  <c r="I160" i="3"/>
  <c r="I159" i="3"/>
  <c r="I158" i="3"/>
  <c r="I157" i="3"/>
  <c r="I156" i="3"/>
  <c r="I155" i="3"/>
  <c r="I154" i="3"/>
  <c r="I153" i="3"/>
  <c r="I152" i="3"/>
  <c r="I151" i="3"/>
  <c r="I150" i="3"/>
  <c r="I149" i="3"/>
  <c r="I148" i="3"/>
  <c r="I147" i="3"/>
  <c r="I146" i="3"/>
  <c r="I145" i="3"/>
  <c r="I144" i="3"/>
  <c r="I143" i="3"/>
  <c r="I142" i="3"/>
  <c r="I141" i="3"/>
  <c r="I140" i="3"/>
  <c r="I139" i="3"/>
  <c r="I138" i="3"/>
  <c r="I137" i="3"/>
  <c r="I136" i="3"/>
  <c r="I135" i="3"/>
  <c r="I134" i="3"/>
  <c r="I133" i="3"/>
  <c r="I132" i="3"/>
  <c r="I131" i="3"/>
  <c r="I130" i="3"/>
  <c r="I129" i="3"/>
  <c r="I128" i="3"/>
  <c r="I127" i="3"/>
  <c r="I126" i="3"/>
  <c r="I125" i="3"/>
  <c r="I124" i="3"/>
  <c r="I123" i="3"/>
  <c r="I122" i="3"/>
  <c r="I121" i="3"/>
  <c r="I120" i="3"/>
  <c r="I119" i="3"/>
  <c r="I118" i="3"/>
  <c r="I117" i="3"/>
  <c r="I116" i="3"/>
  <c r="I115" i="3"/>
  <c r="I114" i="3"/>
  <c r="I113" i="3"/>
  <c r="I112" i="3"/>
  <c r="I111" i="3"/>
  <c r="I110" i="3"/>
  <c r="I109" i="3"/>
  <c r="I108" i="3"/>
  <c r="I107" i="3"/>
  <c r="I106" i="3"/>
  <c r="I105" i="3"/>
  <c r="I104" i="3"/>
  <c r="I103" i="3"/>
  <c r="I102" i="3"/>
  <c r="I101" i="3"/>
  <c r="I100" i="3"/>
  <c r="I99" i="3"/>
  <c r="I98" i="3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1" i="3"/>
  <c r="X7" i="1" l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</calcChain>
</file>

<file path=xl/sharedStrings.xml><?xml version="1.0" encoding="utf-8"?>
<sst xmlns="http://schemas.openxmlformats.org/spreadsheetml/2006/main" count="663" uniqueCount="220">
  <si>
    <t>TERM</t>
  </si>
  <si>
    <t>MONTH</t>
  </si>
  <si>
    <t>WEEK</t>
  </si>
  <si>
    <t>TOPIC</t>
  </si>
  <si>
    <t>COMPETENCE</t>
  </si>
  <si>
    <t>Dates</t>
  </si>
  <si>
    <t>1st term</t>
  </si>
  <si>
    <t>Start time</t>
  </si>
  <si>
    <t>Stop time</t>
  </si>
  <si>
    <t>Reserch questions</t>
  </si>
  <si>
    <t>Visa</t>
  </si>
  <si>
    <t>Duration</t>
  </si>
  <si>
    <t>Time from:</t>
  </si>
  <si>
    <t>End time:</t>
  </si>
  <si>
    <t>The teacher</t>
  </si>
  <si>
    <t>The dean of studies</t>
  </si>
  <si>
    <t>Grade:</t>
  </si>
  <si>
    <r>
      <t>Teacher</t>
    </r>
    <r>
      <rPr>
        <sz val="11"/>
        <color theme="1"/>
        <rFont val="Calibri"/>
        <family val="2"/>
        <scheme val="minor"/>
      </rPr>
      <t xml:space="preserve">: </t>
    </r>
  </si>
  <si>
    <r>
      <t>Subject</t>
    </r>
    <r>
      <rPr>
        <sz val="11"/>
        <color theme="1"/>
        <rFont val="Calibri"/>
        <family val="2"/>
        <scheme val="minor"/>
      </rPr>
      <t xml:space="preserve">: </t>
    </r>
  </si>
  <si>
    <t>Periods</t>
  </si>
  <si>
    <t>Coef</t>
  </si>
  <si>
    <t>Teachers</t>
  </si>
  <si>
    <t>Days</t>
  </si>
  <si>
    <t>Food nutrition and health</t>
  </si>
  <si>
    <t>ESF F1</t>
  </si>
  <si>
    <t>Anka Glory</t>
  </si>
  <si>
    <t>Resource management on home studies</t>
  </si>
  <si>
    <t>ESF F2</t>
  </si>
  <si>
    <t>ESF F3</t>
  </si>
  <si>
    <t>ESF F4</t>
  </si>
  <si>
    <t>Family life education and Gerontology</t>
  </si>
  <si>
    <t>French</t>
  </si>
  <si>
    <t>All form-1</t>
  </si>
  <si>
    <t>Baïdi</t>
  </si>
  <si>
    <t>All form-2</t>
  </si>
  <si>
    <t>All form-3</t>
  </si>
  <si>
    <t>All form-4</t>
  </si>
  <si>
    <t>All form-5</t>
  </si>
  <si>
    <t>Technical drawing</t>
  </si>
  <si>
    <t>ELEC F3</t>
  </si>
  <si>
    <t>Billa</t>
  </si>
  <si>
    <t xml:space="preserve">Commercial and domestic electrical installations </t>
  </si>
  <si>
    <t>ELEC F2</t>
  </si>
  <si>
    <t>Electrical diagrams</t>
  </si>
  <si>
    <t>Electrique machines</t>
  </si>
  <si>
    <t>ELEC F4</t>
  </si>
  <si>
    <t xml:space="preserve">Technology of equipments and electrical installations </t>
  </si>
  <si>
    <t>Cassandra</t>
  </si>
  <si>
    <t>Home economics</t>
  </si>
  <si>
    <t>ACT F1-ACC F1-MKT F1</t>
  </si>
  <si>
    <t>ACT F2-ACC F2-MKT F2</t>
  </si>
  <si>
    <t>Fashion drawing</t>
  </si>
  <si>
    <t>Cloth F3</t>
  </si>
  <si>
    <t>Chesi</t>
  </si>
  <si>
    <t>Cloth F4</t>
  </si>
  <si>
    <t>Pattern Drafting</t>
  </si>
  <si>
    <t>Textile and hardware technology</t>
  </si>
  <si>
    <t>Cloth F2</t>
  </si>
  <si>
    <t>Work Organization</t>
  </si>
  <si>
    <t>Technology</t>
  </si>
  <si>
    <t>MARE F1</t>
  </si>
  <si>
    <t>Chomboh Joel</t>
  </si>
  <si>
    <t>Electrical and electronics technology</t>
  </si>
  <si>
    <t>MARE F2</t>
  </si>
  <si>
    <t>Mechanical technology</t>
  </si>
  <si>
    <t>Practical for mechanical technology</t>
  </si>
  <si>
    <t>Practical for electrical and electronic technology</t>
  </si>
  <si>
    <t>MARE F3</t>
  </si>
  <si>
    <t>English</t>
  </si>
  <si>
    <t>Doreen</t>
  </si>
  <si>
    <t>ELEC F1-BC F1-MARE F1</t>
  </si>
  <si>
    <t>Francine</t>
  </si>
  <si>
    <t>BC F4</t>
  </si>
  <si>
    <t>BC F1</t>
  </si>
  <si>
    <t>Practicals BC</t>
  </si>
  <si>
    <t>BC F2</t>
  </si>
  <si>
    <t>BC F3</t>
  </si>
  <si>
    <t>Quantity and Estimation</t>
  </si>
  <si>
    <t>Marketing</t>
  </si>
  <si>
    <t>Genevieve</t>
  </si>
  <si>
    <t>Product mastery</t>
  </si>
  <si>
    <t>MKT F3-ESF F3-ESF F4</t>
  </si>
  <si>
    <t>Digital marketing practice</t>
  </si>
  <si>
    <t>MKT F3</t>
  </si>
  <si>
    <t>Sales methods and communication</t>
  </si>
  <si>
    <t>ACT F1-ACC F1-MKT F1-</t>
  </si>
  <si>
    <t>Accounting</t>
  </si>
  <si>
    <t>ACT F1 /ACC F1 / MKT F1</t>
  </si>
  <si>
    <t>Guilienne</t>
  </si>
  <si>
    <t>Business Mathematics</t>
  </si>
  <si>
    <t>ACC F4-ESF F4</t>
  </si>
  <si>
    <t>Commerce</t>
  </si>
  <si>
    <t>ACT F1-MKT F1</t>
  </si>
  <si>
    <t>ACT F3-ACC F3-MKT F3-ESF F3</t>
  </si>
  <si>
    <t>ACC F5</t>
  </si>
  <si>
    <t>Economics</t>
  </si>
  <si>
    <t>MKT F3-ESF F3-ACT F3</t>
  </si>
  <si>
    <t>Office and administrative management</t>
  </si>
  <si>
    <t>Entrepreneurship</t>
  </si>
  <si>
    <t>ACC F4-ELEC F4-Cloth F4-BC F4-ESF F4</t>
  </si>
  <si>
    <t>ACC F5-BC F5</t>
  </si>
  <si>
    <t>ACT F3-ACC F3-MKT F3-Cloth F3-ESF F3</t>
  </si>
  <si>
    <t>Ohada financial Reporting end of year accounting</t>
  </si>
  <si>
    <t>ACC F4</t>
  </si>
  <si>
    <t>Guillienne</t>
  </si>
  <si>
    <t>Electric circuits</t>
  </si>
  <si>
    <t>Isuh Erick</t>
  </si>
  <si>
    <t>Electrical practicals</t>
  </si>
  <si>
    <t>ELEC F1</t>
  </si>
  <si>
    <t>French-2</t>
  </si>
  <si>
    <t>Jamine</t>
  </si>
  <si>
    <t>English-2</t>
  </si>
  <si>
    <t>Kum</t>
  </si>
  <si>
    <t>ok</t>
  </si>
  <si>
    <t>Sports</t>
  </si>
  <si>
    <t>Lymonga</t>
  </si>
  <si>
    <t>Others mixte associated activities</t>
  </si>
  <si>
    <t>Lymonga / Yakana</t>
  </si>
  <si>
    <t>Bench work / Ajustage</t>
  </si>
  <si>
    <t>Maxilus</t>
  </si>
  <si>
    <t>Material technology &amp; workshop processes</t>
  </si>
  <si>
    <t>Physical/engineering sciences</t>
  </si>
  <si>
    <t>ELEC F1-MARE F1-BC F1</t>
  </si>
  <si>
    <t>Mbah</t>
  </si>
  <si>
    <t>ELEC F2-MARE F2-BC F2</t>
  </si>
  <si>
    <t>ELEC F3-MARE F3-BC F3</t>
  </si>
  <si>
    <t>ELEC F4-MARE F4-BC F4</t>
  </si>
  <si>
    <t>BC F5</t>
  </si>
  <si>
    <t>ICT (Computer science)</t>
  </si>
  <si>
    <t>Cloth F1-ESF F1-ELEC F1-BC F1-MARE F1-MKT F1-ACT F1-ACC F1</t>
  </si>
  <si>
    <t>Cloth F2-ESF F2-ELEC F2-BC F2-MARE F2-MKT F2-ACT F2-ACC F2</t>
  </si>
  <si>
    <t>Cloth F3-ELEC F3-BC F3-MARE F3</t>
  </si>
  <si>
    <t>Cloth F4-ELEC F4-BC F4-MARE F4</t>
  </si>
  <si>
    <t>MARE F4</t>
  </si>
  <si>
    <t>Nana</t>
  </si>
  <si>
    <t>Numfor</t>
  </si>
  <si>
    <t>Materials</t>
  </si>
  <si>
    <t>Soil and Materials</t>
  </si>
  <si>
    <t>Guardians and councelling</t>
  </si>
  <si>
    <t>ELEC F1-BC F1-MARE F1-Cloth F1</t>
  </si>
  <si>
    <t>Odette nurse</t>
  </si>
  <si>
    <t>ELEC F2-BC F2-MARE F2-Cloth F2</t>
  </si>
  <si>
    <t>ELEC F3-BC F3-MARE F3-Cloth F3</t>
  </si>
  <si>
    <t>ELEC F4-BC F4-MARE F4-</t>
  </si>
  <si>
    <t>Health - Safety- Environment</t>
  </si>
  <si>
    <t>ELEC F1-BC F1 -MARE F1-Cloth F1</t>
  </si>
  <si>
    <t>ELEC F2-BC F2- MARE F2-Cloth F2</t>
  </si>
  <si>
    <t>ELEC F3-BC F3 -MARE F3-Cloth F3</t>
  </si>
  <si>
    <t>ELEC F4-BC F4- MARE F4-Cloth F4</t>
  </si>
  <si>
    <t>Natural science</t>
  </si>
  <si>
    <t>Petoh</t>
  </si>
  <si>
    <t>Electrical test and measurements</t>
  </si>
  <si>
    <t>Generation, Transport and Distribution of electrical energy</t>
  </si>
  <si>
    <t>Industrial electrical installations</t>
  </si>
  <si>
    <t>Sewing</t>
  </si>
  <si>
    <t>Ruth</t>
  </si>
  <si>
    <t>Cloth F1</t>
  </si>
  <si>
    <t>Song</t>
  </si>
  <si>
    <t>Tchio</t>
  </si>
  <si>
    <t>International Financial Accounting</t>
  </si>
  <si>
    <t>Tume</t>
  </si>
  <si>
    <t>Professional and communication techniques</t>
  </si>
  <si>
    <t>ACT F3-ACC F3</t>
  </si>
  <si>
    <t>Information processing</t>
  </si>
  <si>
    <t>ACT F3</t>
  </si>
  <si>
    <t>ACC F3</t>
  </si>
  <si>
    <t>ACT F2/ACC F2/MKT F2</t>
  </si>
  <si>
    <t>Business math (elective)</t>
  </si>
  <si>
    <t>Useni</t>
  </si>
  <si>
    <t>Ohada financial Accounting</t>
  </si>
  <si>
    <t>Citizenship (Civics and moral education)</t>
  </si>
  <si>
    <t>ACT F1-ACC F1-MKT F1-ELEC F1- BC F1-MARE F1-Cloth F1</t>
  </si>
  <si>
    <t>ACT F2-ACC F2-MKT F2-ELEC F2-BC F2-MARE F2-Cloth F2</t>
  </si>
  <si>
    <t>CITIZENSHIP (Civics and moral education)</t>
  </si>
  <si>
    <t>ELEC F4-MARE F4-BC F4-Cloth F4</t>
  </si>
  <si>
    <t>Geography</t>
  </si>
  <si>
    <t>ACC F1-ESF F1-MKT F1-ACT F1</t>
  </si>
  <si>
    <t>ACC F2-MKT F2-ESF F2-ACT F2</t>
  </si>
  <si>
    <t>Computer aided accounting</t>
  </si>
  <si>
    <t>ACC F3 - ESF F3</t>
  </si>
  <si>
    <t>Viban</t>
  </si>
  <si>
    <t>ACC F4 - ESF F4</t>
  </si>
  <si>
    <t>Ohada financial accounting</t>
  </si>
  <si>
    <t>Mathematics</t>
  </si>
  <si>
    <t>Yakana</t>
  </si>
  <si>
    <t>Law and gouvernment</t>
  </si>
  <si>
    <t>ACT F3- ESF F3</t>
  </si>
  <si>
    <t>Law and government</t>
  </si>
  <si>
    <t>Legislation</t>
  </si>
  <si>
    <t>ACT F1 -ACC F1-MKT F1-ESF F1-</t>
  </si>
  <si>
    <t>ACT F2-ESF F2-ACC F2-MKT F2</t>
  </si>
  <si>
    <t>ELEC F2-BC F2-MARE F2</t>
  </si>
  <si>
    <t>Old teachers</t>
  </si>
  <si>
    <t>Classes and grouping</t>
  </si>
  <si>
    <t>Subjects teaching organisation 2026-2027</t>
  </si>
  <si>
    <t>Digital
Practical
normal</t>
  </si>
  <si>
    <t>Stages of the lesson</t>
  </si>
  <si>
    <t>Role call</t>
  </si>
  <si>
    <t>Elites Bilingual nursery and primary school Ngaïkada Bertoua</t>
  </si>
  <si>
    <t>INDIVIDUAL LESSON NOTE ON XXX FOR THE ACADEMIC YEAR 2026-2027</t>
  </si>
  <si>
    <t>Class</t>
  </si>
  <si>
    <t>lesson</t>
  </si>
  <si>
    <t>Level</t>
  </si>
  <si>
    <t>ENROLEMENT</t>
  </si>
  <si>
    <t>AVERAGE AGE</t>
  </si>
  <si>
    <t>EXPECTED LEARNING OUTCOMES</t>
  </si>
  <si>
    <t>ENTRY BEHAVIOUR</t>
  </si>
  <si>
    <t>TEACHING AIDS</t>
  </si>
  <si>
    <t>TEACHING LEARNING STRATEGIES</t>
  </si>
  <si>
    <t>REFERENCES</t>
  </si>
  <si>
    <t>MAIN POINTS OF MATTER</t>
  </si>
  <si>
    <t>LEARNERS’ ACTIVITIES</t>
  </si>
  <si>
    <t>FACILITATOR’S ACTIVITIES</t>
  </si>
  <si>
    <t>Marks on/</t>
  </si>
  <si>
    <t>The head teacher</t>
  </si>
  <si>
    <t>Oct</t>
  </si>
  <si>
    <t>Stage: Introduction</t>
  </si>
  <si>
    <t>Stage: presentation</t>
  </si>
  <si>
    <t>Stage: Conclusion</t>
  </si>
  <si>
    <t>General summary of this lesson: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</si>
</sst>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0.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lgerian"/>
      <family val="5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24"/>
      <color theme="8" tint="-0.499984740745262"/>
      <name val="Arial Rounded MT Bold"/>
      <family val="2"/>
    </font>
    <font>
      <b/>
      <sz val="24"/>
      <color theme="1"/>
      <name val="Arial Rounded MT Bold"/>
      <family val="2"/>
    </font>
    <font>
      <sz val="2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22"/>
      <color theme="8" tint="-0.499984740745262"/>
      <name val="Arial Rounded MT Bold"/>
      <family val="2"/>
    </font>
    <font>
      <b/>
      <sz val="16"/>
      <color theme="1"/>
      <name val="Arial Rounded MT Bold"/>
      <family val="2"/>
    </font>
    <font>
      <b/>
      <sz val="18"/>
      <color theme="1"/>
      <name val="Arial Rounded MT Bold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8" tint="-0.499984740745262"/>
      <name val="Arial Rounded MT Bold"/>
      <family val="2"/>
    </font>
    <font>
      <sz val="16"/>
      <color theme="1"/>
      <name val="Arial Rounded MT Bold"/>
      <family val="2"/>
    </font>
    <font>
      <sz val="22"/>
      <color theme="1"/>
      <name val="Arial Rounded MT Bold"/>
      <family val="2"/>
    </font>
    <font>
      <b/>
      <sz val="20"/>
      <color theme="1"/>
      <name val="Arial Rounded MT Bold"/>
      <family val="2"/>
    </font>
    <font>
      <b/>
      <sz val="12"/>
      <color theme="1"/>
      <name val="Arial Rounded MT Bold"/>
      <family val="2"/>
    </font>
    <font>
      <b/>
      <sz val="20"/>
      <color theme="8" tint="-0.499984740745262"/>
      <name val="Arial Rounded MT Bold"/>
      <family val="2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 textRotation="90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3" xfId="0" applyBorder="1"/>
    <xf numFmtId="0" fontId="0" fillId="0" borderId="10" xfId="0" applyBorder="1"/>
    <xf numFmtId="0" fontId="0" fillId="6" borderId="6" xfId="0" applyFill="1" applyBorder="1"/>
    <xf numFmtId="0" fontId="0" fillId="4" borderId="11" xfId="0" applyFill="1" applyBorder="1"/>
    <xf numFmtId="0" fontId="0" fillId="4" borderId="12" xfId="0" applyFill="1" applyBorder="1"/>
    <xf numFmtId="0" fontId="5" fillId="0" borderId="13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4" borderId="18" xfId="0" applyFill="1" applyBorder="1"/>
    <xf numFmtId="0" fontId="0" fillId="4" borderId="19" xfId="0" applyFill="1" applyBorder="1"/>
    <xf numFmtId="0" fontId="2" fillId="5" borderId="13" xfId="0" applyFont="1" applyFill="1" applyBorder="1" applyAlignment="1">
      <alignment horizontal="center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1" fillId="3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 wrapText="1"/>
    </xf>
    <xf numFmtId="0" fontId="0" fillId="3" borderId="3" xfId="0" applyFill="1" applyBorder="1"/>
    <xf numFmtId="0" fontId="0" fillId="3" borderId="10" xfId="0" applyFill="1" applyBorder="1"/>
    <xf numFmtId="164" fontId="3" fillId="3" borderId="10" xfId="0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7" fillId="2" borderId="3" xfId="0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right" vertical="center" wrapText="1"/>
    </xf>
    <xf numFmtId="0" fontId="12" fillId="7" borderId="3" xfId="0" applyFont="1" applyFill="1" applyBorder="1" applyAlignment="1">
      <alignment horizontal="left" vertical="center" wrapText="1"/>
    </xf>
    <xf numFmtId="0" fontId="13" fillId="7" borderId="3" xfId="0" applyFont="1" applyFill="1" applyBorder="1" applyAlignment="1">
      <alignment horizontal="center" vertical="center"/>
    </xf>
    <xf numFmtId="0" fontId="13" fillId="7" borderId="3" xfId="0" applyFont="1" applyFill="1" applyBorder="1" applyAlignment="1">
      <alignment horizontal="left" vertical="center"/>
    </xf>
    <xf numFmtId="0" fontId="13" fillId="7" borderId="5" xfId="0" applyFont="1" applyFill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10" fillId="5" borderId="3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right" vertical="center" wrapText="1"/>
    </xf>
    <xf numFmtId="0" fontId="12" fillId="5" borderId="3" xfId="0" applyFont="1" applyFill="1" applyBorder="1" applyAlignment="1">
      <alignment horizontal="left" vertical="center" wrapText="1"/>
    </xf>
    <xf numFmtId="0" fontId="13" fillId="5" borderId="3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left" vertical="center"/>
    </xf>
    <xf numFmtId="0" fontId="13" fillId="5" borderId="0" xfId="0" applyFont="1" applyFill="1" applyBorder="1" applyAlignment="1">
      <alignment horizontal="left" vertical="center"/>
    </xf>
    <xf numFmtId="0" fontId="13" fillId="5" borderId="5" xfId="0" applyFont="1" applyFill="1" applyBorder="1" applyAlignment="1">
      <alignment horizontal="left" vertical="center"/>
    </xf>
    <xf numFmtId="0" fontId="13" fillId="7" borderId="0" xfId="0" applyFont="1" applyFill="1" applyBorder="1" applyAlignment="1">
      <alignment horizontal="left" vertical="center"/>
    </xf>
    <xf numFmtId="0" fontId="15" fillId="5" borderId="3" xfId="0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left" vertical="center"/>
    </xf>
    <xf numFmtId="0" fontId="6" fillId="5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20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left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right" vertical="center" wrapText="1"/>
    </xf>
    <xf numFmtId="0" fontId="22" fillId="5" borderId="3" xfId="0" applyFont="1" applyFill="1" applyBorder="1" applyAlignment="1">
      <alignment horizontal="right" vertical="center" wrapText="1"/>
    </xf>
    <xf numFmtId="0" fontId="0" fillId="8" borderId="6" xfId="0" applyFill="1" applyBorder="1"/>
    <xf numFmtId="0" fontId="0" fillId="8" borderId="5" xfId="0" applyFill="1" applyBorder="1"/>
    <xf numFmtId="0" fontId="1" fillId="8" borderId="12" xfId="0" applyFont="1" applyFill="1" applyBorder="1" applyAlignment="1">
      <alignment horizontal="right" vertical="center"/>
    </xf>
    <xf numFmtId="0" fontId="1" fillId="8" borderId="6" xfId="0" applyFont="1" applyFill="1" applyBorder="1" applyAlignment="1">
      <alignment horizontal="right" vertical="center"/>
    </xf>
    <xf numFmtId="165" fontId="2" fillId="5" borderId="7" xfId="0" applyNumberFormat="1" applyFont="1" applyFill="1" applyBorder="1" applyAlignment="1">
      <alignment horizontal="center" vertical="center" textRotation="90" wrapText="1"/>
    </xf>
    <xf numFmtId="165" fontId="2" fillId="5" borderId="8" xfId="0" applyNumberFormat="1" applyFont="1" applyFill="1" applyBorder="1" applyAlignment="1">
      <alignment horizontal="center" vertical="center" textRotation="90" wrapText="1"/>
    </xf>
    <xf numFmtId="165" fontId="2" fillId="5" borderId="21" xfId="0" applyNumberFormat="1" applyFont="1" applyFill="1" applyBorder="1" applyAlignment="1">
      <alignment horizontal="center" vertical="center" textRotation="90" wrapText="1"/>
    </xf>
    <xf numFmtId="165" fontId="2" fillId="5" borderId="9" xfId="0" applyNumberFormat="1" applyFont="1" applyFill="1" applyBorder="1" applyAlignment="1">
      <alignment horizontal="center" vertical="center" textRotation="90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center" wrapText="1"/>
    </xf>
    <xf numFmtId="0" fontId="23" fillId="2" borderId="16" xfId="0" applyFont="1" applyFill="1" applyBorder="1" applyAlignment="1">
      <alignment horizontal="left" vertical="center"/>
    </xf>
    <xf numFmtId="0" fontId="24" fillId="2" borderId="17" xfId="0" applyFont="1" applyFill="1" applyBorder="1"/>
    <xf numFmtId="0" fontId="24" fillId="2" borderId="2" xfId="0" applyFont="1" applyFill="1" applyBorder="1"/>
    <xf numFmtId="0" fontId="24" fillId="2" borderId="0" xfId="0" applyFont="1" applyFill="1"/>
    <xf numFmtId="0" fontId="25" fillId="2" borderId="6" xfId="0" applyFont="1" applyFill="1" applyBorder="1" applyAlignment="1">
      <alignment horizontal="right"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7" borderId="6" xfId="0" applyFont="1" applyFill="1" applyBorder="1" applyAlignment="1">
      <alignment horizontal="right" vertical="center"/>
    </xf>
    <xf numFmtId="0" fontId="0" fillId="7" borderId="5" xfId="0" applyFill="1" applyBorder="1"/>
    <xf numFmtId="0" fontId="1" fillId="7" borderId="0" xfId="0" applyFont="1" applyFill="1" applyAlignment="1">
      <alignment horizontal="right"/>
    </xf>
    <xf numFmtId="0" fontId="0" fillId="7" borderId="4" xfId="0" applyFill="1" applyBorder="1"/>
    <xf numFmtId="0" fontId="0" fillId="7" borderId="0" xfId="0" applyFill="1"/>
    <xf numFmtId="0" fontId="0" fillId="7" borderId="6" xfId="0" applyFill="1" applyBorder="1"/>
    <xf numFmtId="0" fontId="5" fillId="0" borderId="20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1" fillId="8" borderId="0" xfId="0" applyFont="1" applyFill="1" applyBorder="1" applyAlignment="1">
      <alignment horizontal="right" vertical="center"/>
    </xf>
    <xf numFmtId="0" fontId="25" fillId="2" borderId="0" xfId="0" applyFont="1" applyFill="1" applyBorder="1" applyAlignment="1">
      <alignment horizontal="right" vertical="center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0" fillId="4" borderId="0" xfId="0" applyFill="1" applyBorder="1"/>
    <xf numFmtId="0" fontId="0" fillId="8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6"/>
  <sheetViews>
    <sheetView tabSelected="1" view="pageBreakPreview" topLeftCell="B1" zoomScale="85" zoomScaleNormal="100" zoomScaleSheetLayoutView="85" workbookViewId="0">
      <pane xSplit="3" ySplit="6" topLeftCell="F7" activePane="bottomRight" state="frozen"/>
      <selection activeCell="B1" sqref="B1"/>
      <selection pane="topRight" activeCell="E1" sqref="E1"/>
      <selection pane="bottomLeft" activeCell="B7" sqref="B7"/>
      <selection pane="bottomRight" activeCell="B3" sqref="B3"/>
    </sheetView>
  </sheetViews>
  <sheetFormatPr baseColWidth="10" defaultRowHeight="15" x14ac:dyDescent="0.25"/>
  <cols>
    <col min="1" max="1" width="8.5703125" customWidth="1"/>
    <col min="2" max="2" width="10" customWidth="1"/>
    <col min="3" max="3" width="8.42578125" customWidth="1"/>
    <col min="5" max="5" width="19.42578125" customWidth="1"/>
    <col min="6" max="8" width="7.7109375" customWidth="1"/>
    <col min="9" max="9" width="13.5703125" customWidth="1"/>
    <col min="10" max="12" width="9.7109375" customWidth="1"/>
    <col min="13" max="13" width="11.42578125" customWidth="1"/>
    <col min="14" max="14" width="9.140625" customWidth="1"/>
    <col min="15" max="18" width="6" customWidth="1"/>
    <col min="19" max="21" width="10.7109375" customWidth="1"/>
    <col min="22" max="24" width="5" customWidth="1"/>
    <col min="25" max="25" width="10.28515625" customWidth="1"/>
    <col min="26" max="27" width="5" customWidth="1"/>
  </cols>
  <sheetData>
    <row r="1" spans="1:27" ht="18.75" x14ac:dyDescent="0.25">
      <c r="B1" s="13" t="s">
        <v>198</v>
      </c>
      <c r="C1" s="14"/>
      <c r="D1" s="14"/>
      <c r="E1" s="14"/>
      <c r="F1" s="14"/>
      <c r="G1" s="14"/>
      <c r="H1" s="15"/>
      <c r="I1" s="3" t="s">
        <v>12</v>
      </c>
      <c r="J1" s="26"/>
      <c r="K1" s="4" t="s">
        <v>13</v>
      </c>
      <c r="L1" s="61"/>
      <c r="M1" s="61" t="s">
        <v>11</v>
      </c>
      <c r="N1" s="61"/>
      <c r="O1" s="61"/>
      <c r="P1" s="84"/>
      <c r="Q1" s="84"/>
      <c r="R1" s="84"/>
      <c r="S1" s="3" t="s">
        <v>17</v>
      </c>
      <c r="T1" s="61"/>
      <c r="U1" s="61"/>
      <c r="V1" s="59"/>
      <c r="W1" s="59"/>
      <c r="X1" s="10"/>
      <c r="Y1" s="10"/>
      <c r="Z1" s="10"/>
      <c r="AA1" s="10"/>
    </row>
    <row r="2" spans="1:27" ht="27" thickBot="1" x14ac:dyDescent="0.45">
      <c r="B2" s="69" t="s">
        <v>199</v>
      </c>
      <c r="C2" s="70"/>
      <c r="D2" s="70"/>
      <c r="E2" s="70"/>
      <c r="F2" s="70"/>
      <c r="G2" s="70"/>
      <c r="H2" s="71"/>
      <c r="I2" s="72"/>
      <c r="J2" s="73"/>
      <c r="K2" s="73"/>
      <c r="L2" s="73"/>
      <c r="M2" s="73"/>
      <c r="N2" s="73"/>
      <c r="O2" s="73"/>
      <c r="P2" s="85"/>
      <c r="Q2" s="85"/>
      <c r="R2" s="85"/>
      <c r="S2" s="3" t="s">
        <v>16</v>
      </c>
      <c r="T2" s="76"/>
      <c r="U2" s="76"/>
      <c r="V2" s="77"/>
      <c r="W2" s="78" t="s">
        <v>202</v>
      </c>
      <c r="X2" s="79"/>
      <c r="Y2" s="80" t="s">
        <v>203</v>
      </c>
      <c r="Z2" s="81"/>
      <c r="AA2" s="77"/>
    </row>
    <row r="3" spans="1:27" x14ac:dyDescent="0.25">
      <c r="B3" s="3" t="s">
        <v>200</v>
      </c>
      <c r="C3" s="11"/>
      <c r="D3" s="12"/>
      <c r="E3" s="12"/>
      <c r="F3" s="3" t="s">
        <v>18</v>
      </c>
      <c r="G3" s="16"/>
      <c r="H3" s="17"/>
      <c r="J3" s="62"/>
      <c r="K3" s="62"/>
      <c r="L3" s="62"/>
      <c r="M3" s="62"/>
      <c r="N3" s="62"/>
      <c r="O3" s="62"/>
      <c r="P3" s="84"/>
      <c r="Q3" s="84"/>
      <c r="R3" s="84"/>
      <c r="S3" s="3" t="s">
        <v>213</v>
      </c>
      <c r="T3" s="62"/>
      <c r="U3" s="62"/>
      <c r="V3" s="60"/>
      <c r="Y3" t="s">
        <v>204</v>
      </c>
    </row>
    <row r="4" spans="1:27" x14ac:dyDescent="0.25">
      <c r="B4" s="3"/>
      <c r="C4" s="88"/>
      <c r="D4" s="88"/>
      <c r="E4" s="88"/>
      <c r="F4" s="3"/>
      <c r="G4" s="88"/>
      <c r="H4" s="88"/>
      <c r="J4" s="84"/>
      <c r="K4" s="84"/>
      <c r="L4" s="84"/>
      <c r="M4" s="84"/>
      <c r="N4" s="84"/>
      <c r="O4" s="84"/>
      <c r="P4" s="84"/>
      <c r="Q4" s="84"/>
      <c r="R4" s="84"/>
      <c r="S4" s="3"/>
      <c r="T4" s="84"/>
      <c r="U4" s="84"/>
      <c r="V4" s="89"/>
    </row>
    <row r="5" spans="1:27" ht="44.25" customHeight="1" thickBot="1" x14ac:dyDescent="0.3">
      <c r="B5" s="83" t="s">
        <v>219</v>
      </c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  <c r="AA5" s="83"/>
    </row>
    <row r="6" spans="1:27" ht="99.75" customHeight="1" thickBot="1" x14ac:dyDescent="0.3">
      <c r="A6" s="18" t="s">
        <v>0</v>
      </c>
      <c r="B6" s="63" t="s">
        <v>1</v>
      </c>
      <c r="C6" s="64" t="s">
        <v>2</v>
      </c>
      <c r="D6" s="64" t="s">
        <v>5</v>
      </c>
      <c r="E6" s="64" t="s">
        <v>205</v>
      </c>
      <c r="F6" s="64" t="s">
        <v>3</v>
      </c>
      <c r="G6" s="64" t="s">
        <v>201</v>
      </c>
      <c r="H6" s="64" t="s">
        <v>4</v>
      </c>
      <c r="I6" s="64" t="s">
        <v>195</v>
      </c>
      <c r="J6" s="64" t="s">
        <v>196</v>
      </c>
      <c r="K6" s="64" t="s">
        <v>206</v>
      </c>
      <c r="L6" s="64" t="s">
        <v>207</v>
      </c>
      <c r="M6" s="64" t="s">
        <v>208</v>
      </c>
      <c r="N6" s="64" t="s">
        <v>209</v>
      </c>
      <c r="O6" s="64" t="s">
        <v>216</v>
      </c>
      <c r="P6" s="64" t="s">
        <v>217</v>
      </c>
      <c r="Q6" s="64" t="s">
        <v>218</v>
      </c>
      <c r="R6" s="64"/>
      <c r="S6" s="64" t="s">
        <v>210</v>
      </c>
      <c r="T6" s="64" t="s">
        <v>211</v>
      </c>
      <c r="U6" s="64" t="s">
        <v>212</v>
      </c>
      <c r="V6" s="64" t="s">
        <v>7</v>
      </c>
      <c r="W6" s="64" t="s">
        <v>8</v>
      </c>
      <c r="X6" s="64" t="s">
        <v>11</v>
      </c>
      <c r="Y6" s="64" t="s">
        <v>9</v>
      </c>
      <c r="Z6" s="65" t="s">
        <v>197</v>
      </c>
      <c r="AA6" s="66" t="s">
        <v>10</v>
      </c>
    </row>
    <row r="7" spans="1:27" ht="19.5" customHeight="1" x14ac:dyDescent="0.25">
      <c r="A7" s="5" t="s">
        <v>6</v>
      </c>
      <c r="B7" s="86" t="s">
        <v>215</v>
      </c>
      <c r="C7" s="67"/>
      <c r="D7" s="67"/>
      <c r="E7" s="67"/>
      <c r="F7" s="67"/>
      <c r="G7" s="68"/>
      <c r="H7" s="68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5"/>
      <c r="W7" s="25"/>
      <c r="X7" s="25">
        <f t="shared" ref="X7:X23" si="0">W7-V7</f>
        <v>0</v>
      </c>
      <c r="Y7" s="24"/>
      <c r="Z7" s="24"/>
      <c r="AA7" s="24"/>
    </row>
    <row r="8" spans="1:27" ht="19.5" customHeight="1" x14ac:dyDescent="0.25">
      <c r="A8" s="5" t="s">
        <v>6</v>
      </c>
      <c r="B8" s="87"/>
      <c r="C8" s="6"/>
      <c r="D8" s="6"/>
      <c r="E8" s="6"/>
      <c r="F8" s="6"/>
      <c r="G8" s="7"/>
      <c r="H8" s="7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9"/>
      <c r="W8" s="19"/>
      <c r="X8" s="19">
        <f t="shared" si="0"/>
        <v>0</v>
      </c>
      <c r="Y8" s="8"/>
      <c r="Z8" s="8"/>
      <c r="AA8" s="8"/>
    </row>
    <row r="9" spans="1:27" ht="19.5" customHeight="1" x14ac:dyDescent="0.25">
      <c r="A9" s="5" t="s">
        <v>6</v>
      </c>
      <c r="B9" s="5"/>
      <c r="C9" s="6"/>
      <c r="D9" s="6"/>
      <c r="E9" s="6"/>
      <c r="F9" s="6"/>
      <c r="G9" s="7"/>
      <c r="H9" s="7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9"/>
      <c r="W9" s="19"/>
      <c r="X9" s="19">
        <f t="shared" si="0"/>
        <v>0</v>
      </c>
      <c r="Y9" s="8"/>
      <c r="Z9" s="8"/>
      <c r="AA9" s="8"/>
    </row>
    <row r="10" spans="1:27" ht="19.5" customHeight="1" x14ac:dyDescent="0.25">
      <c r="A10" s="5" t="s">
        <v>6</v>
      </c>
      <c r="B10" s="20"/>
      <c r="C10" s="21"/>
      <c r="D10" s="21"/>
      <c r="E10" s="21"/>
      <c r="F10" s="21"/>
      <c r="G10" s="22"/>
      <c r="H10" s="22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5"/>
      <c r="W10" s="25"/>
      <c r="X10" s="25">
        <f t="shared" si="0"/>
        <v>0</v>
      </c>
      <c r="Y10" s="23"/>
      <c r="Z10" s="23"/>
      <c r="AA10" s="23"/>
    </row>
    <row r="11" spans="1:27" ht="19.5" customHeight="1" x14ac:dyDescent="0.25">
      <c r="A11" s="5" t="s">
        <v>6</v>
      </c>
      <c r="B11" s="5"/>
      <c r="C11" s="6"/>
      <c r="D11" s="6"/>
      <c r="E11" s="6"/>
      <c r="F11" s="6"/>
      <c r="G11" s="7"/>
      <c r="H11" s="7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19"/>
      <c r="W11" s="19"/>
      <c r="X11" s="19">
        <f t="shared" si="0"/>
        <v>0</v>
      </c>
      <c r="Y11" s="8"/>
      <c r="Z11" s="8"/>
      <c r="AA11" s="8"/>
    </row>
    <row r="12" spans="1:27" ht="19.5" customHeight="1" x14ac:dyDescent="0.25">
      <c r="A12" s="5" t="s">
        <v>6</v>
      </c>
      <c r="B12" s="20"/>
      <c r="C12" s="21"/>
      <c r="D12" s="21"/>
      <c r="E12" s="21"/>
      <c r="F12" s="21"/>
      <c r="G12" s="22"/>
      <c r="H12" s="22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5"/>
      <c r="W12" s="25"/>
      <c r="X12" s="25">
        <f t="shared" si="0"/>
        <v>0</v>
      </c>
      <c r="Y12" s="23"/>
      <c r="Z12" s="23"/>
      <c r="AA12" s="23"/>
    </row>
    <row r="13" spans="1:27" ht="19.5" customHeight="1" x14ac:dyDescent="0.25">
      <c r="A13" s="2"/>
      <c r="B13" s="5"/>
      <c r="C13" s="6"/>
      <c r="D13" s="6"/>
      <c r="E13" s="6"/>
      <c r="F13" s="6"/>
      <c r="G13" s="7"/>
      <c r="H13" s="7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9"/>
      <c r="W13" s="19"/>
      <c r="X13" s="19">
        <f t="shared" si="0"/>
        <v>0</v>
      </c>
      <c r="Y13" s="8"/>
      <c r="Z13" s="8"/>
      <c r="AA13" s="8"/>
    </row>
    <row r="14" spans="1:27" ht="19.5" customHeight="1" x14ac:dyDescent="0.25">
      <c r="A14" s="2"/>
      <c r="B14" s="20"/>
      <c r="C14" s="21"/>
      <c r="D14" s="21"/>
      <c r="E14" s="21"/>
      <c r="F14" s="21"/>
      <c r="G14" s="22"/>
      <c r="H14" s="22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5"/>
      <c r="W14" s="25"/>
      <c r="X14" s="25">
        <f t="shared" si="0"/>
        <v>0</v>
      </c>
      <c r="Y14" s="23"/>
      <c r="Z14" s="23"/>
      <c r="AA14" s="23"/>
    </row>
    <row r="15" spans="1:27" ht="19.5" customHeight="1" x14ac:dyDescent="0.25">
      <c r="A15" s="2"/>
      <c r="B15" s="5"/>
      <c r="C15" s="6"/>
      <c r="D15" s="6"/>
      <c r="E15" s="6"/>
      <c r="F15" s="6"/>
      <c r="G15" s="7"/>
      <c r="H15" s="7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9"/>
      <c r="W15" s="19"/>
      <c r="X15" s="19">
        <f t="shared" si="0"/>
        <v>0</v>
      </c>
      <c r="Y15" s="8"/>
      <c r="Z15" s="8"/>
      <c r="AA15" s="8"/>
    </row>
    <row r="16" spans="1:27" ht="19.5" customHeight="1" x14ac:dyDescent="0.25">
      <c r="A16" s="2"/>
      <c r="B16" s="20"/>
      <c r="C16" s="21"/>
      <c r="D16" s="21"/>
      <c r="E16" s="21"/>
      <c r="F16" s="21"/>
      <c r="G16" s="22"/>
      <c r="H16" s="22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5"/>
      <c r="W16" s="25"/>
      <c r="X16" s="25">
        <f t="shared" si="0"/>
        <v>0</v>
      </c>
      <c r="Y16" s="23"/>
      <c r="Z16" s="23"/>
      <c r="AA16" s="23"/>
    </row>
    <row r="17" spans="1:27" ht="19.5" customHeight="1" x14ac:dyDescent="0.25">
      <c r="A17" s="2"/>
      <c r="B17" s="5"/>
      <c r="C17" s="6"/>
      <c r="D17" s="6"/>
      <c r="E17" s="6"/>
      <c r="F17" s="6"/>
      <c r="G17" s="7"/>
      <c r="H17" s="7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9"/>
      <c r="W17" s="19"/>
      <c r="X17" s="19">
        <f t="shared" si="0"/>
        <v>0</v>
      </c>
      <c r="Y17" s="8"/>
      <c r="Z17" s="8"/>
      <c r="AA17" s="8"/>
    </row>
    <row r="18" spans="1:27" ht="19.5" customHeight="1" x14ac:dyDescent="0.25">
      <c r="A18" s="2"/>
      <c r="B18" s="20"/>
      <c r="C18" s="21"/>
      <c r="D18" s="21"/>
      <c r="E18" s="21"/>
      <c r="F18" s="21"/>
      <c r="G18" s="22"/>
      <c r="H18" s="22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5"/>
      <c r="W18" s="25"/>
      <c r="X18" s="25">
        <f t="shared" si="0"/>
        <v>0</v>
      </c>
      <c r="Y18" s="23"/>
      <c r="Z18" s="23"/>
      <c r="AA18" s="23"/>
    </row>
    <row r="19" spans="1:27" ht="19.5" customHeight="1" x14ac:dyDescent="0.25">
      <c r="A19" s="2"/>
      <c r="B19" s="5"/>
      <c r="C19" s="6"/>
      <c r="D19" s="6"/>
      <c r="E19" s="6"/>
      <c r="F19" s="6"/>
      <c r="G19" s="7"/>
      <c r="H19" s="7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9"/>
      <c r="W19" s="19"/>
      <c r="X19" s="19">
        <f t="shared" si="0"/>
        <v>0</v>
      </c>
      <c r="Y19" s="8"/>
      <c r="Z19" s="8"/>
      <c r="AA19" s="8"/>
    </row>
    <row r="20" spans="1:27" ht="19.5" customHeight="1" x14ac:dyDescent="0.25">
      <c r="A20" s="2"/>
      <c r="B20" s="20"/>
      <c r="C20" s="21"/>
      <c r="D20" s="21"/>
      <c r="E20" s="21"/>
      <c r="F20" s="21"/>
      <c r="G20" s="22"/>
      <c r="H20" s="22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5"/>
      <c r="W20" s="25"/>
      <c r="X20" s="25">
        <f t="shared" si="0"/>
        <v>0</v>
      </c>
      <c r="Y20" s="23"/>
      <c r="Z20" s="23"/>
      <c r="AA20" s="23"/>
    </row>
    <row r="21" spans="1:27" ht="19.5" customHeight="1" x14ac:dyDescent="0.25">
      <c r="A21" s="2"/>
      <c r="B21" s="5"/>
      <c r="C21" s="6"/>
      <c r="D21" s="6"/>
      <c r="E21" s="6"/>
      <c r="F21" s="6"/>
      <c r="G21" s="7"/>
      <c r="H21" s="7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9"/>
      <c r="W21" s="19"/>
      <c r="X21" s="19">
        <f t="shared" si="0"/>
        <v>0</v>
      </c>
      <c r="Y21" s="8"/>
      <c r="Z21" s="8"/>
      <c r="AA21" s="8"/>
    </row>
    <row r="22" spans="1:27" ht="19.5" customHeight="1" x14ac:dyDescent="0.25">
      <c r="A22" s="2"/>
      <c r="B22" s="20"/>
      <c r="C22" s="21"/>
      <c r="D22" s="21"/>
      <c r="E22" s="21"/>
      <c r="F22" s="21"/>
      <c r="G22" s="22"/>
      <c r="H22" s="22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5"/>
      <c r="W22" s="25"/>
      <c r="X22" s="25">
        <f t="shared" si="0"/>
        <v>0</v>
      </c>
      <c r="Y22" s="23"/>
      <c r="Z22" s="23"/>
      <c r="AA22" s="23"/>
    </row>
    <row r="23" spans="1:27" ht="19.5" customHeight="1" x14ac:dyDescent="0.25">
      <c r="A23" s="2"/>
      <c r="B23" s="5"/>
      <c r="C23" s="6"/>
      <c r="D23" s="6"/>
      <c r="E23" s="6"/>
      <c r="F23" s="6"/>
      <c r="G23" s="7"/>
      <c r="H23" s="7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9"/>
      <c r="W23" s="19"/>
      <c r="X23" s="19">
        <f t="shared" si="0"/>
        <v>0</v>
      </c>
      <c r="Y23" s="8"/>
      <c r="Z23" s="8"/>
      <c r="AA23" s="8"/>
    </row>
    <row r="24" spans="1:27" s="74" customFormat="1" ht="37.5" customHeight="1" x14ac:dyDescent="0.25">
      <c r="B24" s="82" t="s">
        <v>14</v>
      </c>
      <c r="C24" s="82"/>
      <c r="D24" s="75"/>
      <c r="E24" s="75"/>
      <c r="F24" s="75" t="s">
        <v>15</v>
      </c>
      <c r="G24" s="75"/>
      <c r="H24" s="75"/>
      <c r="J24" s="75"/>
      <c r="K24" s="75"/>
      <c r="L24" s="75"/>
      <c r="M24" s="75"/>
      <c r="N24" s="75"/>
      <c r="O24" s="75"/>
      <c r="P24" s="75"/>
      <c r="Q24" s="75"/>
      <c r="R24" s="75"/>
      <c r="S24" s="75" t="s">
        <v>214</v>
      </c>
      <c r="T24" s="75"/>
      <c r="U24" s="75"/>
    </row>
    <row r="25" spans="1:27" x14ac:dyDescent="0.25">
      <c r="A25" s="1"/>
    </row>
    <row r="26" spans="1:27" x14ac:dyDescent="0.25">
      <c r="A26" s="1"/>
    </row>
  </sheetData>
  <mergeCells count="2">
    <mergeCell ref="B24:C24"/>
    <mergeCell ref="B5:AA5"/>
  </mergeCells>
  <dataValidations count="1">
    <dataValidation type="list" allowBlank="1" showInputMessage="1" showErrorMessage="1" sqref="I7:U23">
      <formula1>"Yes, No"</formula1>
    </dataValidation>
  </dataValidations>
  <pageMargins left="0.25" right="0.25" top="0.75" bottom="0.75" header="0.3" footer="0.3"/>
  <pageSetup paperSize="9" scale="67" orientation="landscape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0"/>
  <sheetViews>
    <sheetView view="pageBreakPreview" zoomScale="55" zoomScaleNormal="100" zoomScaleSheetLayoutView="55" workbookViewId="0">
      <pane xSplit="2" ySplit="1" topLeftCell="C158" activePane="bottomRight" state="frozen"/>
      <selection pane="topRight" activeCell="C1" sqref="C1"/>
      <selection pane="bottomLeft" activeCell="A2" sqref="A2"/>
      <selection pane="bottomRight" activeCell="B176" sqref="B176"/>
    </sheetView>
  </sheetViews>
  <sheetFormatPr baseColWidth="10" defaultColWidth="11.42578125" defaultRowHeight="28.5" x14ac:dyDescent="0.25"/>
  <cols>
    <col min="1" max="1" width="10.28515625" style="45" customWidth="1"/>
    <col min="2" max="2" width="95.28515625" style="46" customWidth="1"/>
    <col min="3" max="3" width="47" style="47" customWidth="1"/>
    <col min="4" max="5" width="9.7109375" style="48" customWidth="1"/>
    <col min="6" max="6" width="27" style="48" customWidth="1"/>
    <col min="7" max="7" width="21.7109375" style="48" customWidth="1"/>
    <col min="8" max="8" width="36.28515625" style="49" customWidth="1"/>
    <col min="9" max="9" width="0" style="45" hidden="1" customWidth="1"/>
    <col min="10" max="16384" width="11.42578125" style="45"/>
  </cols>
  <sheetData>
    <row r="1" spans="1:9" s="53" customFormat="1" ht="74.25" customHeight="1" x14ac:dyDescent="0.25">
      <c r="A1" s="50"/>
      <c r="B1" s="27" t="s">
        <v>194</v>
      </c>
      <c r="C1" s="28" t="s">
        <v>193</v>
      </c>
      <c r="D1" s="55" t="s">
        <v>19</v>
      </c>
      <c r="E1" s="56" t="s">
        <v>20</v>
      </c>
      <c r="F1" s="51" t="s">
        <v>21</v>
      </c>
      <c r="G1" s="54" t="s">
        <v>192</v>
      </c>
      <c r="H1" s="52" t="s">
        <v>22</v>
      </c>
      <c r="I1" s="53" t="str">
        <f t="shared" ref="I1:I64" si="0">""&amp;B1&amp;"- ("&amp;G1&amp;")"</f>
        <v>Subjects teaching organisation 2026-2027- (Old teachers)</v>
      </c>
    </row>
    <row r="2" spans="1:9" s="35" customFormat="1" ht="27" x14ac:dyDescent="0.25">
      <c r="A2" s="29">
        <v>1</v>
      </c>
      <c r="B2" s="30" t="s">
        <v>23</v>
      </c>
      <c r="C2" s="31" t="s">
        <v>24</v>
      </c>
      <c r="D2" s="32">
        <v>3</v>
      </c>
      <c r="E2" s="32">
        <v>4</v>
      </c>
      <c r="F2" s="32"/>
      <c r="G2" s="33" t="s">
        <v>25</v>
      </c>
      <c r="H2" s="34"/>
      <c r="I2" s="35" t="str">
        <f t="shared" si="0"/>
        <v>Food nutrition and health- (Anka Glory)</v>
      </c>
    </row>
    <row r="3" spans="1:9" s="35" customFormat="1" ht="27" x14ac:dyDescent="0.25">
      <c r="A3" s="36">
        <v>2</v>
      </c>
      <c r="B3" s="37" t="s">
        <v>26</v>
      </c>
      <c r="C3" s="38" t="s">
        <v>24</v>
      </c>
      <c r="D3" s="39">
        <v>3</v>
      </c>
      <c r="E3" s="39">
        <v>3</v>
      </c>
      <c r="F3" s="39"/>
      <c r="G3" s="40" t="s">
        <v>25</v>
      </c>
      <c r="H3" s="41"/>
      <c r="I3" s="35" t="str">
        <f t="shared" si="0"/>
        <v>Resource management on home studies- (Anka Glory)</v>
      </c>
    </row>
    <row r="4" spans="1:9" s="35" customFormat="1" ht="27" x14ac:dyDescent="0.25">
      <c r="A4" s="29">
        <v>3</v>
      </c>
      <c r="B4" s="30" t="s">
        <v>26</v>
      </c>
      <c r="C4" s="31" t="s">
        <v>27</v>
      </c>
      <c r="D4" s="32">
        <v>3</v>
      </c>
      <c r="E4" s="32">
        <v>3</v>
      </c>
      <c r="F4" s="32"/>
      <c r="G4" s="33" t="s">
        <v>25</v>
      </c>
      <c r="H4" s="34"/>
      <c r="I4" s="35" t="str">
        <f t="shared" si="0"/>
        <v>Resource management on home studies- (Anka Glory)</v>
      </c>
    </row>
    <row r="5" spans="1:9" s="35" customFormat="1" ht="27" x14ac:dyDescent="0.25">
      <c r="A5" s="36">
        <v>4</v>
      </c>
      <c r="B5" s="37" t="s">
        <v>26</v>
      </c>
      <c r="C5" s="38" t="s">
        <v>28</v>
      </c>
      <c r="D5" s="39">
        <v>3</v>
      </c>
      <c r="E5" s="39">
        <v>3</v>
      </c>
      <c r="F5" s="39"/>
      <c r="G5" s="40" t="s">
        <v>25</v>
      </c>
      <c r="H5" s="41"/>
      <c r="I5" s="35" t="str">
        <f t="shared" si="0"/>
        <v>Resource management on home studies- (Anka Glory)</v>
      </c>
    </row>
    <row r="6" spans="1:9" s="35" customFormat="1" ht="27" x14ac:dyDescent="0.25">
      <c r="A6" s="29">
        <v>5</v>
      </c>
      <c r="B6" s="30" t="s">
        <v>26</v>
      </c>
      <c r="C6" s="31" t="s">
        <v>29</v>
      </c>
      <c r="D6" s="32">
        <v>3</v>
      </c>
      <c r="E6" s="32">
        <v>3</v>
      </c>
      <c r="F6" s="32"/>
      <c r="G6" s="33" t="s">
        <v>25</v>
      </c>
      <c r="H6" s="34"/>
      <c r="I6" s="35" t="str">
        <f t="shared" si="0"/>
        <v>Resource management on home studies- (Anka Glory)</v>
      </c>
    </row>
    <row r="7" spans="1:9" s="35" customFormat="1" ht="27" x14ac:dyDescent="0.25">
      <c r="A7" s="36">
        <v>6</v>
      </c>
      <c r="B7" s="37" t="s">
        <v>30</v>
      </c>
      <c r="C7" s="38" t="s">
        <v>27</v>
      </c>
      <c r="D7" s="39">
        <v>3</v>
      </c>
      <c r="E7" s="39">
        <v>4</v>
      </c>
      <c r="F7" s="39"/>
      <c r="G7" s="40" t="s">
        <v>25</v>
      </c>
      <c r="H7" s="41"/>
      <c r="I7" s="35" t="str">
        <f t="shared" si="0"/>
        <v>Family life education and Gerontology- (Anka Glory)</v>
      </c>
    </row>
    <row r="8" spans="1:9" s="35" customFormat="1" ht="27" x14ac:dyDescent="0.25">
      <c r="A8" s="29">
        <v>7</v>
      </c>
      <c r="B8" s="30" t="s">
        <v>30</v>
      </c>
      <c r="C8" s="31" t="s">
        <v>29</v>
      </c>
      <c r="D8" s="32">
        <v>2</v>
      </c>
      <c r="E8" s="32">
        <v>4</v>
      </c>
      <c r="F8" s="32"/>
      <c r="G8" s="33" t="s">
        <v>25</v>
      </c>
      <c r="H8" s="34"/>
      <c r="I8" s="35" t="str">
        <f t="shared" si="0"/>
        <v>Family life education and Gerontology- (Anka Glory)</v>
      </c>
    </row>
    <row r="9" spans="1:9" s="35" customFormat="1" ht="27" x14ac:dyDescent="0.25">
      <c r="A9" s="36">
        <v>8</v>
      </c>
      <c r="B9" s="37" t="s">
        <v>31</v>
      </c>
      <c r="C9" s="38" t="s">
        <v>32</v>
      </c>
      <c r="D9" s="39">
        <v>2</v>
      </c>
      <c r="E9" s="39">
        <v>4</v>
      </c>
      <c r="F9" s="39"/>
      <c r="G9" s="40" t="s">
        <v>33</v>
      </c>
      <c r="H9" s="41"/>
      <c r="I9" s="35" t="str">
        <f t="shared" si="0"/>
        <v>French- (Baïdi)</v>
      </c>
    </row>
    <row r="10" spans="1:9" s="35" customFormat="1" ht="27" x14ac:dyDescent="0.25">
      <c r="A10" s="29">
        <v>9</v>
      </c>
      <c r="B10" s="30" t="s">
        <v>31</v>
      </c>
      <c r="C10" s="31" t="s">
        <v>34</v>
      </c>
      <c r="D10" s="32">
        <v>2</v>
      </c>
      <c r="E10" s="32">
        <v>4</v>
      </c>
      <c r="F10" s="32"/>
      <c r="G10" s="33" t="s">
        <v>33</v>
      </c>
      <c r="H10" s="34"/>
      <c r="I10" s="35" t="str">
        <f t="shared" si="0"/>
        <v>French- (Baïdi)</v>
      </c>
    </row>
    <row r="11" spans="1:9" s="35" customFormat="1" ht="27" x14ac:dyDescent="0.25">
      <c r="A11" s="36">
        <v>10</v>
      </c>
      <c r="B11" s="37" t="s">
        <v>31</v>
      </c>
      <c r="C11" s="38" t="s">
        <v>35</v>
      </c>
      <c r="D11" s="39">
        <v>2</v>
      </c>
      <c r="E11" s="39">
        <v>4</v>
      </c>
      <c r="F11" s="39"/>
      <c r="G11" s="40" t="s">
        <v>33</v>
      </c>
      <c r="H11" s="41"/>
      <c r="I11" s="35" t="str">
        <f t="shared" si="0"/>
        <v>French- (Baïdi)</v>
      </c>
    </row>
    <row r="12" spans="1:9" s="35" customFormat="1" ht="27" x14ac:dyDescent="0.25">
      <c r="A12" s="29">
        <v>11</v>
      </c>
      <c r="B12" s="30" t="s">
        <v>31</v>
      </c>
      <c r="C12" s="31" t="s">
        <v>36</v>
      </c>
      <c r="D12" s="32">
        <v>2</v>
      </c>
      <c r="E12" s="32">
        <v>4</v>
      </c>
      <c r="F12" s="32"/>
      <c r="G12" s="33" t="s">
        <v>33</v>
      </c>
      <c r="H12" s="34"/>
      <c r="I12" s="35" t="str">
        <f t="shared" si="0"/>
        <v>French- (Baïdi)</v>
      </c>
    </row>
    <row r="13" spans="1:9" s="35" customFormat="1" ht="27" x14ac:dyDescent="0.25">
      <c r="A13" s="36">
        <v>12</v>
      </c>
      <c r="B13" s="37" t="s">
        <v>31</v>
      </c>
      <c r="C13" s="38" t="s">
        <v>37</v>
      </c>
      <c r="D13" s="39">
        <v>2</v>
      </c>
      <c r="E13" s="39">
        <v>4</v>
      </c>
      <c r="F13" s="39"/>
      <c r="G13" s="40" t="s">
        <v>33</v>
      </c>
      <c r="H13" s="41"/>
      <c r="I13" s="35" t="str">
        <f t="shared" si="0"/>
        <v>French- (Baïdi)</v>
      </c>
    </row>
    <row r="14" spans="1:9" s="35" customFormat="1" ht="27" x14ac:dyDescent="0.25">
      <c r="A14" s="29">
        <v>13</v>
      </c>
      <c r="B14" s="30" t="s">
        <v>38</v>
      </c>
      <c r="C14" s="31" t="s">
        <v>39</v>
      </c>
      <c r="D14" s="32">
        <v>2</v>
      </c>
      <c r="E14" s="32">
        <v>4</v>
      </c>
      <c r="F14" s="32"/>
      <c r="G14" s="33" t="s">
        <v>40</v>
      </c>
      <c r="H14" s="34"/>
      <c r="I14" s="35" t="str">
        <f t="shared" si="0"/>
        <v>Technical drawing- (Billa)</v>
      </c>
    </row>
    <row r="15" spans="1:9" s="35" customFormat="1" ht="54" x14ac:dyDescent="0.25">
      <c r="A15" s="36">
        <v>14</v>
      </c>
      <c r="B15" s="37" t="s">
        <v>41</v>
      </c>
      <c r="C15" s="38" t="s">
        <v>42</v>
      </c>
      <c r="D15" s="39">
        <v>4</v>
      </c>
      <c r="E15" s="39">
        <v>5</v>
      </c>
      <c r="F15" s="39"/>
      <c r="G15" s="40" t="s">
        <v>40</v>
      </c>
      <c r="H15" s="41"/>
      <c r="I15" s="35" t="str">
        <f t="shared" si="0"/>
        <v>Commercial and domestic electrical installations - (Billa)</v>
      </c>
    </row>
    <row r="16" spans="1:9" s="35" customFormat="1" ht="27" x14ac:dyDescent="0.25">
      <c r="A16" s="29">
        <v>15</v>
      </c>
      <c r="B16" s="30" t="s">
        <v>43</v>
      </c>
      <c r="C16" s="31" t="s">
        <v>42</v>
      </c>
      <c r="D16" s="32">
        <v>2</v>
      </c>
      <c r="E16" s="32">
        <v>2</v>
      </c>
      <c r="F16" s="32"/>
      <c r="G16" s="33" t="s">
        <v>40</v>
      </c>
      <c r="H16" s="34"/>
      <c r="I16" s="35" t="str">
        <f t="shared" si="0"/>
        <v>Electrical diagrams- (Billa)</v>
      </c>
    </row>
    <row r="17" spans="1:9" s="35" customFormat="1" ht="54" x14ac:dyDescent="0.25">
      <c r="A17" s="36">
        <v>16</v>
      </c>
      <c r="B17" s="37" t="s">
        <v>41</v>
      </c>
      <c r="C17" s="38" t="s">
        <v>39</v>
      </c>
      <c r="D17" s="39">
        <v>4</v>
      </c>
      <c r="E17" s="39">
        <v>5</v>
      </c>
      <c r="F17" s="39"/>
      <c r="G17" s="40" t="s">
        <v>40</v>
      </c>
      <c r="H17" s="41"/>
      <c r="I17" s="35" t="str">
        <f t="shared" si="0"/>
        <v>Commercial and domestic electrical installations - (Billa)</v>
      </c>
    </row>
    <row r="18" spans="1:9" s="35" customFormat="1" ht="27" x14ac:dyDescent="0.25">
      <c r="A18" s="29">
        <v>17</v>
      </c>
      <c r="B18" s="30" t="s">
        <v>43</v>
      </c>
      <c r="C18" s="31" t="s">
        <v>39</v>
      </c>
      <c r="D18" s="32">
        <v>2</v>
      </c>
      <c r="E18" s="32">
        <v>2</v>
      </c>
      <c r="F18" s="32"/>
      <c r="G18" s="33" t="s">
        <v>40</v>
      </c>
      <c r="H18" s="34"/>
      <c r="I18" s="35" t="str">
        <f t="shared" si="0"/>
        <v>Electrical diagrams- (Billa)</v>
      </c>
    </row>
    <row r="19" spans="1:9" s="35" customFormat="1" ht="27" x14ac:dyDescent="0.25">
      <c r="A19" s="36">
        <v>18</v>
      </c>
      <c r="B19" s="37" t="s">
        <v>44</v>
      </c>
      <c r="C19" s="38" t="s">
        <v>45</v>
      </c>
      <c r="D19" s="39">
        <v>3</v>
      </c>
      <c r="E19" s="39">
        <v>3</v>
      </c>
      <c r="F19" s="39"/>
      <c r="G19" s="40" t="s">
        <v>40</v>
      </c>
      <c r="H19" s="41"/>
      <c r="I19" s="35" t="str">
        <f t="shared" si="0"/>
        <v>Electrique machines- (Billa)</v>
      </c>
    </row>
    <row r="20" spans="1:9" s="35" customFormat="1" ht="54" x14ac:dyDescent="0.25">
      <c r="A20" s="29">
        <v>19</v>
      </c>
      <c r="B20" s="30" t="s">
        <v>46</v>
      </c>
      <c r="C20" s="31" t="s">
        <v>45</v>
      </c>
      <c r="D20" s="32">
        <v>2</v>
      </c>
      <c r="E20" s="32">
        <v>2</v>
      </c>
      <c r="F20" s="32"/>
      <c r="G20" s="33" t="s">
        <v>40</v>
      </c>
      <c r="H20" s="34"/>
      <c r="I20" s="35" t="str">
        <f t="shared" si="0"/>
        <v>Technology of equipments and electrical installations - (Billa)</v>
      </c>
    </row>
    <row r="21" spans="1:9" s="35" customFormat="1" ht="27" x14ac:dyDescent="0.25">
      <c r="A21" s="36">
        <v>20</v>
      </c>
      <c r="B21" s="37" t="s">
        <v>30</v>
      </c>
      <c r="C21" s="38" t="s">
        <v>24</v>
      </c>
      <c r="D21" s="39">
        <v>3</v>
      </c>
      <c r="E21" s="39">
        <v>4</v>
      </c>
      <c r="F21" s="39"/>
      <c r="G21" s="40" t="s">
        <v>47</v>
      </c>
      <c r="H21" s="41"/>
      <c r="I21" s="35" t="str">
        <f t="shared" si="0"/>
        <v>Family life education and Gerontology- (Cassandra)</v>
      </c>
    </row>
    <row r="22" spans="1:9" s="35" customFormat="1" ht="27" x14ac:dyDescent="0.25">
      <c r="A22" s="29">
        <v>21</v>
      </c>
      <c r="B22" s="30" t="s">
        <v>30</v>
      </c>
      <c r="C22" s="31" t="s">
        <v>28</v>
      </c>
      <c r="D22" s="32">
        <v>3</v>
      </c>
      <c r="E22" s="32">
        <v>4</v>
      </c>
      <c r="F22" s="32"/>
      <c r="G22" s="33" t="s">
        <v>47</v>
      </c>
      <c r="H22" s="34"/>
      <c r="I22" s="35" t="str">
        <f t="shared" si="0"/>
        <v>Family life education and Gerontology- (Cassandra)</v>
      </c>
    </row>
    <row r="23" spans="1:9" s="35" customFormat="1" ht="27" x14ac:dyDescent="0.25">
      <c r="A23" s="36">
        <v>22</v>
      </c>
      <c r="B23" s="37" t="s">
        <v>23</v>
      </c>
      <c r="C23" s="38" t="s">
        <v>27</v>
      </c>
      <c r="D23" s="39">
        <v>3</v>
      </c>
      <c r="E23" s="39">
        <v>4</v>
      </c>
      <c r="F23" s="39"/>
      <c r="G23" s="40" t="s">
        <v>47</v>
      </c>
      <c r="H23" s="41"/>
      <c r="I23" s="35" t="str">
        <f t="shared" si="0"/>
        <v>Food nutrition and health- (Cassandra)</v>
      </c>
    </row>
    <row r="24" spans="1:9" s="35" customFormat="1" ht="27" x14ac:dyDescent="0.25">
      <c r="A24" s="29">
        <v>23</v>
      </c>
      <c r="B24" s="30" t="s">
        <v>23</v>
      </c>
      <c r="C24" s="31" t="s">
        <v>28</v>
      </c>
      <c r="D24" s="32">
        <v>3</v>
      </c>
      <c r="E24" s="32">
        <v>4</v>
      </c>
      <c r="F24" s="32"/>
      <c r="G24" s="33" t="s">
        <v>47</v>
      </c>
      <c r="H24" s="34"/>
      <c r="I24" s="35" t="str">
        <f t="shared" si="0"/>
        <v>Food nutrition and health- (Cassandra)</v>
      </c>
    </row>
    <row r="25" spans="1:9" s="35" customFormat="1" ht="27" x14ac:dyDescent="0.25">
      <c r="A25" s="36">
        <v>24</v>
      </c>
      <c r="B25" s="37" t="s">
        <v>23</v>
      </c>
      <c r="C25" s="38" t="s">
        <v>29</v>
      </c>
      <c r="D25" s="39">
        <v>3</v>
      </c>
      <c r="E25" s="39">
        <v>4</v>
      </c>
      <c r="F25" s="39"/>
      <c r="G25" s="40" t="s">
        <v>47</v>
      </c>
      <c r="H25" s="41"/>
      <c r="I25" s="35" t="str">
        <f t="shared" si="0"/>
        <v>Food nutrition and health- (Cassandra)</v>
      </c>
    </row>
    <row r="26" spans="1:9" s="35" customFormat="1" ht="27" x14ac:dyDescent="0.25">
      <c r="A26" s="29">
        <v>25</v>
      </c>
      <c r="B26" s="30" t="s">
        <v>48</v>
      </c>
      <c r="C26" s="31" t="s">
        <v>49</v>
      </c>
      <c r="D26" s="32">
        <v>2</v>
      </c>
      <c r="E26" s="32">
        <v>2</v>
      </c>
      <c r="F26" s="32"/>
      <c r="G26" s="33" t="s">
        <v>47</v>
      </c>
      <c r="H26" s="34"/>
      <c r="I26" s="35" t="str">
        <f t="shared" si="0"/>
        <v>Home economics- (Cassandra)</v>
      </c>
    </row>
    <row r="27" spans="1:9" s="35" customFormat="1" ht="27" x14ac:dyDescent="0.25">
      <c r="A27" s="36">
        <v>26</v>
      </c>
      <c r="B27" s="37" t="s">
        <v>48</v>
      </c>
      <c r="C27" s="38" t="s">
        <v>50</v>
      </c>
      <c r="D27" s="39">
        <v>2</v>
      </c>
      <c r="E27" s="39">
        <v>2</v>
      </c>
      <c r="F27" s="39"/>
      <c r="G27" s="33" t="s">
        <v>47</v>
      </c>
      <c r="H27" s="41"/>
      <c r="I27" s="35" t="str">
        <f t="shared" si="0"/>
        <v>Home economics- (Cassandra)</v>
      </c>
    </row>
    <row r="28" spans="1:9" s="35" customFormat="1" ht="27" x14ac:dyDescent="0.25">
      <c r="A28" s="29">
        <v>27</v>
      </c>
      <c r="B28" s="30" t="s">
        <v>51</v>
      </c>
      <c r="C28" s="31" t="s">
        <v>52</v>
      </c>
      <c r="D28" s="32">
        <v>2</v>
      </c>
      <c r="E28" s="32">
        <v>3</v>
      </c>
      <c r="F28" s="32"/>
      <c r="G28" s="33" t="s">
        <v>53</v>
      </c>
      <c r="H28" s="34"/>
      <c r="I28" s="35" t="str">
        <f t="shared" si="0"/>
        <v>Fashion drawing- (Chesi)</v>
      </c>
    </row>
    <row r="29" spans="1:9" s="35" customFormat="1" ht="27" x14ac:dyDescent="0.25">
      <c r="A29" s="36">
        <v>28</v>
      </c>
      <c r="B29" s="37" t="s">
        <v>51</v>
      </c>
      <c r="C29" s="38" t="s">
        <v>54</v>
      </c>
      <c r="D29" s="39">
        <v>2</v>
      </c>
      <c r="E29" s="39">
        <v>3</v>
      </c>
      <c r="F29" s="39"/>
      <c r="G29" s="40" t="s">
        <v>53</v>
      </c>
      <c r="H29" s="41"/>
      <c r="I29" s="35" t="str">
        <f t="shared" si="0"/>
        <v>Fashion drawing- (Chesi)</v>
      </c>
    </row>
    <row r="30" spans="1:9" s="35" customFormat="1" ht="27" x14ac:dyDescent="0.25">
      <c r="A30" s="29">
        <v>29</v>
      </c>
      <c r="B30" s="30" t="s">
        <v>55</v>
      </c>
      <c r="C30" s="31" t="s">
        <v>52</v>
      </c>
      <c r="D30" s="32">
        <v>3</v>
      </c>
      <c r="E30" s="32">
        <v>3</v>
      </c>
      <c r="F30" s="32"/>
      <c r="G30" s="33" t="s">
        <v>53</v>
      </c>
      <c r="H30" s="34"/>
      <c r="I30" s="35" t="str">
        <f t="shared" si="0"/>
        <v>Pattern Drafting- (Chesi)</v>
      </c>
    </row>
    <row r="31" spans="1:9" s="35" customFormat="1" ht="27" x14ac:dyDescent="0.25">
      <c r="A31" s="36">
        <v>30</v>
      </c>
      <c r="B31" s="37" t="s">
        <v>55</v>
      </c>
      <c r="C31" s="38" t="s">
        <v>54</v>
      </c>
      <c r="D31" s="39">
        <v>3</v>
      </c>
      <c r="E31" s="39">
        <v>3</v>
      </c>
      <c r="F31" s="39"/>
      <c r="G31" s="40" t="s">
        <v>53</v>
      </c>
      <c r="H31" s="41"/>
      <c r="I31" s="35" t="str">
        <f t="shared" si="0"/>
        <v>Pattern Drafting- (Chesi)</v>
      </c>
    </row>
    <row r="32" spans="1:9" s="35" customFormat="1" ht="27" x14ac:dyDescent="0.25">
      <c r="A32" s="29">
        <v>31</v>
      </c>
      <c r="B32" s="30" t="s">
        <v>56</v>
      </c>
      <c r="C32" s="31" t="s">
        <v>57</v>
      </c>
      <c r="D32" s="32">
        <v>1</v>
      </c>
      <c r="E32" s="32">
        <v>3</v>
      </c>
      <c r="F32" s="32"/>
      <c r="G32" s="33" t="s">
        <v>53</v>
      </c>
      <c r="H32" s="34"/>
      <c r="I32" s="35" t="str">
        <f t="shared" si="0"/>
        <v>Textile and hardware technology- (Chesi)</v>
      </c>
    </row>
    <row r="33" spans="1:9" s="35" customFormat="1" ht="27" x14ac:dyDescent="0.25">
      <c r="A33" s="36">
        <v>32</v>
      </c>
      <c r="B33" s="37" t="s">
        <v>58</v>
      </c>
      <c r="C33" s="38" t="s">
        <v>52</v>
      </c>
      <c r="D33" s="39">
        <v>2</v>
      </c>
      <c r="E33" s="39">
        <v>2</v>
      </c>
      <c r="F33" s="39"/>
      <c r="G33" s="40" t="s">
        <v>53</v>
      </c>
      <c r="H33" s="41"/>
      <c r="I33" s="35" t="str">
        <f t="shared" si="0"/>
        <v>Work Organization- (Chesi)</v>
      </c>
    </row>
    <row r="34" spans="1:9" s="35" customFormat="1" ht="27" x14ac:dyDescent="0.25">
      <c r="A34" s="29">
        <v>33</v>
      </c>
      <c r="B34" s="30" t="s">
        <v>56</v>
      </c>
      <c r="C34" s="31" t="s">
        <v>52</v>
      </c>
      <c r="D34" s="32">
        <v>2</v>
      </c>
      <c r="E34" s="32">
        <v>3</v>
      </c>
      <c r="F34" s="32"/>
      <c r="G34" s="33" t="s">
        <v>53</v>
      </c>
      <c r="H34" s="34"/>
      <c r="I34" s="35" t="str">
        <f t="shared" si="0"/>
        <v>Textile and hardware technology- (Chesi)</v>
      </c>
    </row>
    <row r="35" spans="1:9" s="35" customFormat="1" ht="27" x14ac:dyDescent="0.25">
      <c r="A35" s="36">
        <v>34</v>
      </c>
      <c r="B35" s="37" t="s">
        <v>56</v>
      </c>
      <c r="C35" s="38" t="s">
        <v>54</v>
      </c>
      <c r="D35" s="39">
        <v>2</v>
      </c>
      <c r="E35" s="39">
        <v>3</v>
      </c>
      <c r="F35" s="39"/>
      <c r="G35" s="40" t="s">
        <v>53</v>
      </c>
      <c r="H35" s="41"/>
      <c r="I35" s="35" t="str">
        <f t="shared" si="0"/>
        <v>Textile and hardware technology- (Chesi)</v>
      </c>
    </row>
    <row r="36" spans="1:9" s="35" customFormat="1" ht="27" x14ac:dyDescent="0.25">
      <c r="A36" s="29">
        <v>35</v>
      </c>
      <c r="B36" s="30" t="s">
        <v>58</v>
      </c>
      <c r="C36" s="31" t="s">
        <v>54</v>
      </c>
      <c r="D36" s="32">
        <v>2</v>
      </c>
      <c r="E36" s="32">
        <v>2</v>
      </c>
      <c r="F36" s="32"/>
      <c r="G36" s="33" t="s">
        <v>53</v>
      </c>
      <c r="H36" s="34"/>
      <c r="I36" s="35" t="str">
        <f t="shared" si="0"/>
        <v>Work Organization- (Chesi)</v>
      </c>
    </row>
    <row r="37" spans="1:9" s="35" customFormat="1" ht="27" x14ac:dyDescent="0.25">
      <c r="A37" s="36">
        <v>36</v>
      </c>
      <c r="B37" s="37" t="s">
        <v>59</v>
      </c>
      <c r="C37" s="38" t="s">
        <v>60</v>
      </c>
      <c r="D37" s="39">
        <v>2</v>
      </c>
      <c r="E37" s="39">
        <v>3</v>
      </c>
      <c r="F37" s="39"/>
      <c r="G37" s="40" t="s">
        <v>61</v>
      </c>
      <c r="H37" s="41"/>
      <c r="I37" s="35" t="str">
        <f t="shared" si="0"/>
        <v>Technology- (Chomboh Joel)</v>
      </c>
    </row>
    <row r="38" spans="1:9" s="35" customFormat="1" ht="27" x14ac:dyDescent="0.25">
      <c r="A38" s="29">
        <v>37</v>
      </c>
      <c r="B38" s="30" t="s">
        <v>62</v>
      </c>
      <c r="C38" s="31" t="s">
        <v>63</v>
      </c>
      <c r="D38" s="32">
        <v>2</v>
      </c>
      <c r="E38" s="32">
        <v>3</v>
      </c>
      <c r="F38" s="32"/>
      <c r="G38" s="33" t="s">
        <v>61</v>
      </c>
      <c r="H38" s="34"/>
      <c r="I38" s="35" t="str">
        <f t="shared" si="0"/>
        <v>Electrical and electronics technology- (Chomboh Joel)</v>
      </c>
    </row>
    <row r="39" spans="1:9" s="35" customFormat="1" ht="27" x14ac:dyDescent="0.25">
      <c r="A39" s="36">
        <v>38</v>
      </c>
      <c r="B39" s="37" t="s">
        <v>64</v>
      </c>
      <c r="C39" s="38" t="s">
        <v>63</v>
      </c>
      <c r="D39" s="39">
        <v>2</v>
      </c>
      <c r="E39" s="39">
        <v>2</v>
      </c>
      <c r="F39" s="39"/>
      <c r="G39" s="40" t="s">
        <v>61</v>
      </c>
      <c r="H39" s="41"/>
      <c r="I39" s="35" t="str">
        <f t="shared" si="0"/>
        <v>Mechanical technology- (Chomboh Joel)</v>
      </c>
    </row>
    <row r="40" spans="1:9" s="35" customFormat="1" ht="27" x14ac:dyDescent="0.25">
      <c r="A40" s="29">
        <v>39</v>
      </c>
      <c r="B40" s="30" t="s">
        <v>65</v>
      </c>
      <c r="C40" s="31" t="s">
        <v>63</v>
      </c>
      <c r="D40" s="32">
        <v>3</v>
      </c>
      <c r="E40" s="32">
        <v>3</v>
      </c>
      <c r="F40" s="32"/>
      <c r="G40" s="33" t="s">
        <v>61</v>
      </c>
      <c r="H40" s="34"/>
      <c r="I40" s="35" t="str">
        <f t="shared" si="0"/>
        <v>Practical for mechanical technology- (Chomboh Joel)</v>
      </c>
    </row>
    <row r="41" spans="1:9" s="35" customFormat="1" ht="54" x14ac:dyDescent="0.25">
      <c r="A41" s="36">
        <v>40</v>
      </c>
      <c r="B41" s="37" t="s">
        <v>66</v>
      </c>
      <c r="C41" s="38" t="s">
        <v>67</v>
      </c>
      <c r="D41" s="39">
        <v>3</v>
      </c>
      <c r="E41" s="39">
        <v>3</v>
      </c>
      <c r="F41" s="39"/>
      <c r="G41" s="40" t="s">
        <v>61</v>
      </c>
      <c r="H41" s="41"/>
      <c r="I41" s="35" t="str">
        <f t="shared" si="0"/>
        <v>Practical for electrical and electronic technology- (Chomboh Joel)</v>
      </c>
    </row>
    <row r="42" spans="1:9" s="35" customFormat="1" ht="27" x14ac:dyDescent="0.25">
      <c r="A42" s="29">
        <v>41</v>
      </c>
      <c r="B42" s="30" t="s">
        <v>65</v>
      </c>
      <c r="C42" s="31" t="s">
        <v>67</v>
      </c>
      <c r="D42" s="32">
        <v>3</v>
      </c>
      <c r="E42" s="32">
        <v>3</v>
      </c>
      <c r="F42" s="32"/>
      <c r="G42" s="33" t="s">
        <v>61</v>
      </c>
      <c r="H42" s="34"/>
      <c r="I42" s="35" t="str">
        <f t="shared" si="0"/>
        <v>Practical for mechanical technology- (Chomboh Joel)</v>
      </c>
    </row>
    <row r="43" spans="1:9" s="35" customFormat="1" ht="27" x14ac:dyDescent="0.25">
      <c r="A43" s="36">
        <v>42</v>
      </c>
      <c r="B43" s="37" t="s">
        <v>68</v>
      </c>
      <c r="C43" s="38" t="s">
        <v>34</v>
      </c>
      <c r="D43" s="39">
        <v>4</v>
      </c>
      <c r="E43" s="39">
        <v>4</v>
      </c>
      <c r="F43" s="39"/>
      <c r="G43" s="40" t="s">
        <v>69</v>
      </c>
      <c r="H43" s="41"/>
      <c r="I43" s="35" t="str">
        <f t="shared" si="0"/>
        <v>English- (Doreen)</v>
      </c>
    </row>
    <row r="44" spans="1:9" s="35" customFormat="1" ht="27" x14ac:dyDescent="0.25">
      <c r="A44" s="29">
        <v>43</v>
      </c>
      <c r="B44" s="30" t="s">
        <v>68</v>
      </c>
      <c r="C44" s="31" t="s">
        <v>35</v>
      </c>
      <c r="D44" s="32">
        <v>4</v>
      </c>
      <c r="E44" s="32">
        <v>4</v>
      </c>
      <c r="F44" s="32"/>
      <c r="G44" s="33" t="s">
        <v>69</v>
      </c>
      <c r="H44" s="34"/>
      <c r="I44" s="35" t="str">
        <f t="shared" si="0"/>
        <v>English- (Doreen)</v>
      </c>
    </row>
    <row r="45" spans="1:9" s="35" customFormat="1" ht="27" x14ac:dyDescent="0.25">
      <c r="A45" s="36">
        <v>44</v>
      </c>
      <c r="B45" s="37" t="s">
        <v>68</v>
      </c>
      <c r="C45" s="38" t="s">
        <v>36</v>
      </c>
      <c r="D45" s="39">
        <v>2</v>
      </c>
      <c r="E45" s="39">
        <v>4</v>
      </c>
      <c r="F45" s="39"/>
      <c r="G45" s="40" t="s">
        <v>69</v>
      </c>
      <c r="H45" s="41"/>
      <c r="I45" s="35" t="str">
        <f t="shared" si="0"/>
        <v>English- (Doreen)</v>
      </c>
    </row>
    <row r="46" spans="1:9" s="35" customFormat="1" ht="27" x14ac:dyDescent="0.25">
      <c r="A46" s="29">
        <v>45</v>
      </c>
      <c r="B46" s="30" t="s">
        <v>68</v>
      </c>
      <c r="C46" s="31" t="s">
        <v>37</v>
      </c>
      <c r="D46" s="32">
        <v>2</v>
      </c>
      <c r="E46" s="32">
        <v>4</v>
      </c>
      <c r="F46" s="32"/>
      <c r="G46" s="33" t="s">
        <v>69</v>
      </c>
      <c r="H46" s="34"/>
      <c r="I46" s="35" t="str">
        <f t="shared" si="0"/>
        <v>English- (Doreen)</v>
      </c>
    </row>
    <row r="47" spans="1:9" s="35" customFormat="1" ht="27" x14ac:dyDescent="0.25">
      <c r="A47" s="36">
        <v>46</v>
      </c>
      <c r="B47" s="37" t="s">
        <v>38</v>
      </c>
      <c r="C47" s="38" t="s">
        <v>70</v>
      </c>
      <c r="D47" s="39">
        <v>2</v>
      </c>
      <c r="E47" s="39">
        <v>4</v>
      </c>
      <c r="F47" s="39"/>
      <c r="G47" s="40" t="s">
        <v>71</v>
      </c>
      <c r="H47" s="41"/>
      <c r="I47" s="35" t="str">
        <f t="shared" si="0"/>
        <v>Technical drawing- (Francine)</v>
      </c>
    </row>
    <row r="48" spans="1:9" s="35" customFormat="1" ht="27" x14ac:dyDescent="0.25">
      <c r="A48" s="29">
        <v>47</v>
      </c>
      <c r="B48" s="30" t="s">
        <v>38</v>
      </c>
      <c r="C48" s="31" t="s">
        <v>72</v>
      </c>
      <c r="D48" s="32">
        <v>3</v>
      </c>
      <c r="E48" s="32">
        <v>4</v>
      </c>
      <c r="F48" s="32"/>
      <c r="G48" s="33" t="s">
        <v>71</v>
      </c>
      <c r="H48" s="34"/>
      <c r="I48" s="35" t="str">
        <f t="shared" si="0"/>
        <v>Technical drawing- (Francine)</v>
      </c>
    </row>
    <row r="49" spans="1:9" s="35" customFormat="1" ht="27" x14ac:dyDescent="0.25">
      <c r="A49" s="36">
        <v>48</v>
      </c>
      <c r="B49" s="37" t="s">
        <v>59</v>
      </c>
      <c r="C49" s="38" t="s">
        <v>73</v>
      </c>
      <c r="D49" s="39">
        <v>2</v>
      </c>
      <c r="E49" s="39">
        <v>4</v>
      </c>
      <c r="F49" s="39"/>
      <c r="G49" s="40" t="s">
        <v>71</v>
      </c>
      <c r="H49" s="41"/>
      <c r="I49" s="35" t="str">
        <f t="shared" si="0"/>
        <v>Technology- (Francine)</v>
      </c>
    </row>
    <row r="50" spans="1:9" s="35" customFormat="1" ht="27" x14ac:dyDescent="0.25">
      <c r="A50" s="29">
        <v>49</v>
      </c>
      <c r="B50" s="30" t="s">
        <v>74</v>
      </c>
      <c r="C50" s="31" t="s">
        <v>75</v>
      </c>
      <c r="D50" s="32">
        <v>4</v>
      </c>
      <c r="E50" s="32">
        <v>8</v>
      </c>
      <c r="F50" s="32"/>
      <c r="G50" s="33" t="s">
        <v>71</v>
      </c>
      <c r="H50" s="34"/>
      <c r="I50" s="35" t="str">
        <f t="shared" si="0"/>
        <v>Practicals BC- (Francine)</v>
      </c>
    </row>
    <row r="51" spans="1:9" s="35" customFormat="1" ht="27" x14ac:dyDescent="0.25">
      <c r="A51" s="36">
        <v>50</v>
      </c>
      <c r="B51" s="37" t="s">
        <v>59</v>
      </c>
      <c r="C51" s="38" t="s">
        <v>75</v>
      </c>
      <c r="D51" s="39">
        <v>2</v>
      </c>
      <c r="E51" s="39">
        <v>3</v>
      </c>
      <c r="F51" s="39"/>
      <c r="G51" s="40" t="s">
        <v>71</v>
      </c>
      <c r="H51" s="41"/>
      <c r="I51" s="35" t="str">
        <f t="shared" si="0"/>
        <v>Technology- (Francine)</v>
      </c>
    </row>
    <row r="52" spans="1:9" s="35" customFormat="1" ht="27" x14ac:dyDescent="0.25">
      <c r="A52" s="29">
        <v>51</v>
      </c>
      <c r="B52" s="30" t="s">
        <v>59</v>
      </c>
      <c r="C52" s="31" t="s">
        <v>76</v>
      </c>
      <c r="D52" s="32">
        <v>2</v>
      </c>
      <c r="E52" s="32">
        <v>3</v>
      </c>
      <c r="F52" s="32"/>
      <c r="G52" s="33" t="s">
        <v>71</v>
      </c>
      <c r="H52" s="34"/>
      <c r="I52" s="35" t="str">
        <f t="shared" si="0"/>
        <v>Technology- (Francine)</v>
      </c>
    </row>
    <row r="53" spans="1:9" s="35" customFormat="1" ht="27" x14ac:dyDescent="0.25">
      <c r="A53" s="36">
        <v>52</v>
      </c>
      <c r="B53" s="37" t="s">
        <v>77</v>
      </c>
      <c r="C53" s="38" t="s">
        <v>72</v>
      </c>
      <c r="D53" s="39">
        <v>2</v>
      </c>
      <c r="E53" s="39">
        <v>2</v>
      </c>
      <c r="F53" s="39"/>
      <c r="G53" s="40" t="s">
        <v>71</v>
      </c>
      <c r="H53" s="41"/>
      <c r="I53" s="35" t="str">
        <f t="shared" si="0"/>
        <v>Quantity and Estimation- (Francine)</v>
      </c>
    </row>
    <row r="54" spans="1:9" s="35" customFormat="1" ht="27" x14ac:dyDescent="0.25">
      <c r="A54" s="29">
        <v>53</v>
      </c>
      <c r="B54" s="30" t="s">
        <v>78</v>
      </c>
      <c r="C54" s="31" t="s">
        <v>50</v>
      </c>
      <c r="D54" s="32">
        <v>2</v>
      </c>
      <c r="E54" s="32">
        <v>3</v>
      </c>
      <c r="F54" s="32"/>
      <c r="G54" s="33" t="s">
        <v>79</v>
      </c>
      <c r="H54" s="34"/>
      <c r="I54" s="35" t="str">
        <f t="shared" si="0"/>
        <v>Marketing- (Genevieve)</v>
      </c>
    </row>
    <row r="55" spans="1:9" s="35" customFormat="1" ht="27" x14ac:dyDescent="0.25">
      <c r="A55" s="36">
        <v>54</v>
      </c>
      <c r="B55" s="37" t="s">
        <v>80</v>
      </c>
      <c r="C55" s="38" t="s">
        <v>81</v>
      </c>
      <c r="D55" s="39">
        <v>3</v>
      </c>
      <c r="E55" s="39">
        <v>3</v>
      </c>
      <c r="F55" s="39"/>
      <c r="G55" s="40" t="s">
        <v>79</v>
      </c>
      <c r="H55" s="41"/>
      <c r="I55" s="35" t="str">
        <f t="shared" si="0"/>
        <v>Product mastery- (Genevieve)</v>
      </c>
    </row>
    <row r="56" spans="1:9" s="35" customFormat="1" ht="27" x14ac:dyDescent="0.25">
      <c r="A56" s="29">
        <v>55</v>
      </c>
      <c r="B56" s="30" t="s">
        <v>82</v>
      </c>
      <c r="C56" s="31" t="s">
        <v>83</v>
      </c>
      <c r="D56" s="32">
        <v>2</v>
      </c>
      <c r="E56" s="32">
        <v>3</v>
      </c>
      <c r="F56" s="32"/>
      <c r="G56" s="33" t="s">
        <v>79</v>
      </c>
      <c r="H56" s="34"/>
      <c r="I56" s="35" t="str">
        <f t="shared" si="0"/>
        <v>Digital marketing practice- (Genevieve)</v>
      </c>
    </row>
    <row r="57" spans="1:9" s="35" customFormat="1" ht="27" x14ac:dyDescent="0.25">
      <c r="A57" s="36">
        <v>56</v>
      </c>
      <c r="B57" s="37" t="s">
        <v>84</v>
      </c>
      <c r="C57" s="38" t="s">
        <v>83</v>
      </c>
      <c r="D57" s="39">
        <v>3</v>
      </c>
      <c r="E57" s="39">
        <v>3</v>
      </c>
      <c r="F57" s="39"/>
      <c r="G57" s="40" t="s">
        <v>79</v>
      </c>
      <c r="H57" s="41"/>
      <c r="I57" s="35" t="str">
        <f t="shared" si="0"/>
        <v>Sales methods and communication- (Genevieve)</v>
      </c>
    </row>
    <row r="58" spans="1:9" s="35" customFormat="1" ht="27" x14ac:dyDescent="0.25">
      <c r="A58" s="29">
        <v>57</v>
      </c>
      <c r="B58" s="30" t="s">
        <v>78</v>
      </c>
      <c r="C58" s="31" t="s">
        <v>85</v>
      </c>
      <c r="D58" s="32">
        <v>2</v>
      </c>
      <c r="E58" s="32">
        <v>3</v>
      </c>
      <c r="F58" s="32"/>
      <c r="G58" s="33" t="s">
        <v>79</v>
      </c>
      <c r="H58" s="34"/>
      <c r="I58" s="35" t="str">
        <f t="shared" si="0"/>
        <v>Marketing- (Genevieve)</v>
      </c>
    </row>
    <row r="59" spans="1:9" s="35" customFormat="1" ht="27" x14ac:dyDescent="0.25">
      <c r="A59" s="36">
        <v>58</v>
      </c>
      <c r="B59" s="37" t="s">
        <v>86</v>
      </c>
      <c r="C59" s="38" t="s">
        <v>87</v>
      </c>
      <c r="D59" s="39">
        <v>2</v>
      </c>
      <c r="E59" s="39">
        <v>2</v>
      </c>
      <c r="F59" s="39"/>
      <c r="G59" s="40" t="s">
        <v>88</v>
      </c>
      <c r="H59" s="41"/>
      <c r="I59" s="35" t="str">
        <f t="shared" si="0"/>
        <v>Accounting- (Guilienne)</v>
      </c>
    </row>
    <row r="60" spans="1:9" s="35" customFormat="1" ht="27" x14ac:dyDescent="0.25">
      <c r="A60" s="29">
        <v>59</v>
      </c>
      <c r="B60" s="30" t="s">
        <v>89</v>
      </c>
      <c r="C60" s="31" t="s">
        <v>90</v>
      </c>
      <c r="D60" s="32">
        <v>2</v>
      </c>
      <c r="E60" s="32">
        <v>2</v>
      </c>
      <c r="F60" s="32"/>
      <c r="G60" s="33" t="s">
        <v>88</v>
      </c>
      <c r="H60" s="34"/>
      <c r="I60" s="35" t="str">
        <f t="shared" si="0"/>
        <v>Business Mathematics- (Guilienne)</v>
      </c>
    </row>
    <row r="61" spans="1:9" s="35" customFormat="1" ht="27" x14ac:dyDescent="0.25">
      <c r="A61" s="36">
        <v>60</v>
      </c>
      <c r="B61" s="37" t="s">
        <v>91</v>
      </c>
      <c r="C61" s="38" t="s">
        <v>90</v>
      </c>
      <c r="D61" s="39">
        <v>1</v>
      </c>
      <c r="E61" s="39">
        <v>2</v>
      </c>
      <c r="F61" s="39"/>
      <c r="G61" s="40" t="s">
        <v>88</v>
      </c>
      <c r="H61" s="41"/>
      <c r="I61" s="35" t="str">
        <f t="shared" si="0"/>
        <v>Commerce- (Guilienne)</v>
      </c>
    </row>
    <row r="62" spans="1:9" s="35" customFormat="1" ht="27" x14ac:dyDescent="0.25">
      <c r="A62" s="29">
        <v>61</v>
      </c>
      <c r="B62" s="30" t="s">
        <v>91</v>
      </c>
      <c r="C62" s="31" t="s">
        <v>92</v>
      </c>
      <c r="D62" s="32">
        <v>1</v>
      </c>
      <c r="E62" s="32">
        <v>3</v>
      </c>
      <c r="F62" s="32"/>
      <c r="G62" s="33" t="s">
        <v>88</v>
      </c>
      <c r="H62" s="34"/>
      <c r="I62" s="35" t="str">
        <f t="shared" si="0"/>
        <v>Commerce- (Guilienne)</v>
      </c>
    </row>
    <row r="63" spans="1:9" s="35" customFormat="1" ht="27" x14ac:dyDescent="0.25">
      <c r="A63" s="36">
        <v>62</v>
      </c>
      <c r="B63" s="37" t="s">
        <v>91</v>
      </c>
      <c r="C63" s="38" t="s">
        <v>50</v>
      </c>
      <c r="D63" s="39">
        <v>1</v>
      </c>
      <c r="E63" s="39">
        <v>3</v>
      </c>
      <c r="F63" s="39"/>
      <c r="G63" s="40" t="s">
        <v>88</v>
      </c>
      <c r="H63" s="41"/>
      <c r="I63" s="35" t="str">
        <f t="shared" si="0"/>
        <v>Commerce- (Guilienne)</v>
      </c>
    </row>
    <row r="64" spans="1:9" s="35" customFormat="1" ht="39" x14ac:dyDescent="0.25">
      <c r="A64" s="29">
        <v>63</v>
      </c>
      <c r="B64" s="30" t="s">
        <v>91</v>
      </c>
      <c r="C64" s="31" t="s">
        <v>93</v>
      </c>
      <c r="D64" s="32">
        <v>1</v>
      </c>
      <c r="E64" s="32">
        <v>2</v>
      </c>
      <c r="F64" s="32"/>
      <c r="G64" s="33" t="s">
        <v>88</v>
      </c>
      <c r="H64" s="34"/>
      <c r="I64" s="35" t="str">
        <f t="shared" si="0"/>
        <v>Commerce- (Guilienne)</v>
      </c>
    </row>
    <row r="65" spans="1:9" s="35" customFormat="1" ht="27" x14ac:dyDescent="0.25">
      <c r="A65" s="36">
        <v>64</v>
      </c>
      <c r="B65" s="37" t="s">
        <v>91</v>
      </c>
      <c r="C65" s="38" t="s">
        <v>94</v>
      </c>
      <c r="D65" s="39">
        <v>2</v>
      </c>
      <c r="E65" s="39">
        <v>2</v>
      </c>
      <c r="F65" s="39"/>
      <c r="G65" s="40" t="s">
        <v>88</v>
      </c>
      <c r="H65" s="41"/>
      <c r="I65" s="35" t="str">
        <f t="shared" ref="I65:I128" si="1">""&amp;B65&amp;"- ("&amp;G65&amp;")"</f>
        <v>Commerce- (Guilienne)</v>
      </c>
    </row>
    <row r="66" spans="1:9" s="35" customFormat="1" ht="27" x14ac:dyDescent="0.25">
      <c r="A66" s="29">
        <v>65</v>
      </c>
      <c r="B66" s="30" t="s">
        <v>95</v>
      </c>
      <c r="C66" s="31" t="s">
        <v>96</v>
      </c>
      <c r="D66" s="32">
        <v>2</v>
      </c>
      <c r="E66" s="32">
        <v>2</v>
      </c>
      <c r="F66" s="32"/>
      <c r="G66" s="33" t="s">
        <v>88</v>
      </c>
      <c r="H66" s="34"/>
      <c r="I66" s="35" t="str">
        <f t="shared" si="1"/>
        <v>Economics- (Guilienne)</v>
      </c>
    </row>
    <row r="67" spans="1:9" s="35" customFormat="1" ht="27" x14ac:dyDescent="0.25">
      <c r="A67" s="36">
        <v>66</v>
      </c>
      <c r="B67" s="37" t="s">
        <v>95</v>
      </c>
      <c r="C67" s="38" t="s">
        <v>29</v>
      </c>
      <c r="D67" s="39">
        <v>2</v>
      </c>
      <c r="E67" s="39">
        <v>2</v>
      </c>
      <c r="F67" s="39"/>
      <c r="G67" s="40" t="s">
        <v>88</v>
      </c>
      <c r="H67" s="41"/>
      <c r="I67" s="35" t="str">
        <f t="shared" si="1"/>
        <v>Economics- (Guilienne)</v>
      </c>
    </row>
    <row r="68" spans="1:9" s="35" customFormat="1" ht="27" x14ac:dyDescent="0.25">
      <c r="A68" s="29">
        <v>67</v>
      </c>
      <c r="B68" s="30" t="s">
        <v>97</v>
      </c>
      <c r="C68" s="31" t="s">
        <v>49</v>
      </c>
      <c r="D68" s="32">
        <v>2</v>
      </c>
      <c r="E68" s="32">
        <v>2</v>
      </c>
      <c r="F68" s="32"/>
      <c r="G68" s="33" t="s">
        <v>88</v>
      </c>
      <c r="H68" s="34"/>
      <c r="I68" s="35" t="str">
        <f t="shared" si="1"/>
        <v>Office and administrative management- (Guilienne)</v>
      </c>
    </row>
    <row r="69" spans="1:9" s="35" customFormat="1" ht="39" x14ac:dyDescent="0.25">
      <c r="A69" s="36">
        <v>68</v>
      </c>
      <c r="B69" s="37" t="s">
        <v>98</v>
      </c>
      <c r="C69" s="38" t="s">
        <v>99</v>
      </c>
      <c r="D69" s="39">
        <v>1</v>
      </c>
      <c r="E69" s="39">
        <v>2</v>
      </c>
      <c r="F69" s="39"/>
      <c r="G69" s="40" t="s">
        <v>88</v>
      </c>
      <c r="H69" s="41"/>
      <c r="I69" s="35" t="str">
        <f t="shared" si="1"/>
        <v>Entrepreneurship- (Guilienne)</v>
      </c>
    </row>
    <row r="70" spans="1:9" s="35" customFormat="1" ht="27" x14ac:dyDescent="0.25">
      <c r="A70" s="29">
        <v>69</v>
      </c>
      <c r="B70" s="30" t="s">
        <v>98</v>
      </c>
      <c r="C70" s="31" t="s">
        <v>100</v>
      </c>
      <c r="D70" s="32">
        <v>1</v>
      </c>
      <c r="E70" s="32">
        <v>2</v>
      </c>
      <c r="F70" s="32"/>
      <c r="G70" s="33" t="s">
        <v>88</v>
      </c>
      <c r="H70" s="34"/>
      <c r="I70" s="35" t="str">
        <f t="shared" si="1"/>
        <v>Entrepreneurship- (Guilienne)</v>
      </c>
    </row>
    <row r="71" spans="1:9" s="35" customFormat="1" ht="39" x14ac:dyDescent="0.25">
      <c r="A71" s="36">
        <v>70</v>
      </c>
      <c r="B71" s="37" t="s">
        <v>98</v>
      </c>
      <c r="C71" s="38" t="s">
        <v>101</v>
      </c>
      <c r="D71" s="39">
        <v>1</v>
      </c>
      <c r="E71" s="39">
        <v>2</v>
      </c>
      <c r="F71" s="39"/>
      <c r="G71" s="40" t="s">
        <v>88</v>
      </c>
      <c r="H71" s="41"/>
      <c r="I71" s="35" t="str">
        <f t="shared" si="1"/>
        <v>Entrepreneurship- (Guilienne)</v>
      </c>
    </row>
    <row r="72" spans="1:9" s="35" customFormat="1" ht="54" x14ac:dyDescent="0.25">
      <c r="A72" s="29">
        <v>71</v>
      </c>
      <c r="B72" s="30" t="s">
        <v>102</v>
      </c>
      <c r="C72" s="31" t="s">
        <v>103</v>
      </c>
      <c r="D72" s="32">
        <v>2</v>
      </c>
      <c r="E72" s="32">
        <v>3</v>
      </c>
      <c r="F72" s="32"/>
      <c r="G72" s="33" t="s">
        <v>104</v>
      </c>
      <c r="H72" s="34"/>
      <c r="I72" s="35" t="str">
        <f t="shared" si="1"/>
        <v>Ohada financial Reporting end of year accounting- (Guillienne)</v>
      </c>
    </row>
    <row r="73" spans="1:9" s="35" customFormat="1" ht="27" x14ac:dyDescent="0.25">
      <c r="A73" s="36">
        <v>72</v>
      </c>
      <c r="B73" s="37" t="s">
        <v>89</v>
      </c>
      <c r="C73" s="38" t="s">
        <v>94</v>
      </c>
      <c r="D73" s="39">
        <v>2</v>
      </c>
      <c r="E73" s="39">
        <v>2</v>
      </c>
      <c r="F73" s="39"/>
      <c r="G73" s="40" t="s">
        <v>104</v>
      </c>
      <c r="H73" s="41"/>
      <c r="I73" s="35" t="str">
        <f t="shared" si="1"/>
        <v>Business Mathematics- (Guillienne)</v>
      </c>
    </row>
    <row r="74" spans="1:9" s="35" customFormat="1" ht="27" x14ac:dyDescent="0.25">
      <c r="A74" s="29">
        <v>73</v>
      </c>
      <c r="B74" s="30" t="s">
        <v>105</v>
      </c>
      <c r="C74" s="31" t="s">
        <v>42</v>
      </c>
      <c r="D74" s="32">
        <v>3</v>
      </c>
      <c r="E74" s="32">
        <v>3</v>
      </c>
      <c r="F74" s="32"/>
      <c r="G74" s="33" t="s">
        <v>106</v>
      </c>
      <c r="H74" s="34"/>
      <c r="I74" s="35" t="str">
        <f t="shared" si="1"/>
        <v>Electric circuits- (Isuh Erick)</v>
      </c>
    </row>
    <row r="75" spans="1:9" s="35" customFormat="1" ht="27" x14ac:dyDescent="0.25">
      <c r="A75" s="36">
        <v>74</v>
      </c>
      <c r="B75" s="37" t="s">
        <v>107</v>
      </c>
      <c r="C75" s="38" t="s">
        <v>108</v>
      </c>
      <c r="D75" s="39">
        <v>4</v>
      </c>
      <c r="E75" s="39">
        <v>6</v>
      </c>
      <c r="F75" s="39"/>
      <c r="G75" s="40" t="s">
        <v>106</v>
      </c>
      <c r="H75" s="41"/>
      <c r="I75" s="35" t="str">
        <f t="shared" si="1"/>
        <v>Electrical practicals- (Isuh Erick)</v>
      </c>
    </row>
    <row r="76" spans="1:9" s="35" customFormat="1" ht="27" x14ac:dyDescent="0.25">
      <c r="A76" s="29">
        <v>75</v>
      </c>
      <c r="B76" s="30" t="s">
        <v>109</v>
      </c>
      <c r="C76" s="31" t="s">
        <v>32</v>
      </c>
      <c r="D76" s="32">
        <v>2</v>
      </c>
      <c r="E76" s="32">
        <v>4</v>
      </c>
      <c r="F76" s="32"/>
      <c r="G76" s="33" t="s">
        <v>110</v>
      </c>
      <c r="H76" s="34"/>
      <c r="I76" s="35" t="str">
        <f t="shared" si="1"/>
        <v>French-2- (Jamine)</v>
      </c>
    </row>
    <row r="77" spans="1:9" s="35" customFormat="1" ht="27" x14ac:dyDescent="0.25">
      <c r="A77" s="36">
        <v>76</v>
      </c>
      <c r="B77" s="37" t="s">
        <v>109</v>
      </c>
      <c r="C77" s="38" t="s">
        <v>34</v>
      </c>
      <c r="D77" s="39">
        <v>2</v>
      </c>
      <c r="E77" s="39">
        <v>4</v>
      </c>
      <c r="F77" s="39"/>
      <c r="G77" s="40" t="s">
        <v>110</v>
      </c>
      <c r="H77" s="41"/>
      <c r="I77" s="35" t="str">
        <f t="shared" si="1"/>
        <v>French-2- (Jamine)</v>
      </c>
    </row>
    <row r="78" spans="1:9" s="35" customFormat="1" ht="27" x14ac:dyDescent="0.25">
      <c r="A78" s="29">
        <v>77</v>
      </c>
      <c r="B78" s="30" t="s">
        <v>109</v>
      </c>
      <c r="C78" s="31" t="s">
        <v>35</v>
      </c>
      <c r="D78" s="32">
        <v>2</v>
      </c>
      <c r="E78" s="32">
        <v>4</v>
      </c>
      <c r="F78" s="32"/>
      <c r="G78" s="33" t="s">
        <v>110</v>
      </c>
      <c r="H78" s="34"/>
      <c r="I78" s="35" t="str">
        <f t="shared" si="1"/>
        <v>French-2- (Jamine)</v>
      </c>
    </row>
    <row r="79" spans="1:9" s="35" customFormat="1" ht="27" x14ac:dyDescent="0.25">
      <c r="A79" s="36">
        <v>78</v>
      </c>
      <c r="B79" s="37" t="s">
        <v>109</v>
      </c>
      <c r="C79" s="38" t="s">
        <v>36</v>
      </c>
      <c r="D79" s="39">
        <v>2</v>
      </c>
      <c r="E79" s="39">
        <v>4</v>
      </c>
      <c r="F79" s="39"/>
      <c r="G79" s="40" t="s">
        <v>110</v>
      </c>
      <c r="H79" s="41"/>
      <c r="I79" s="35" t="str">
        <f t="shared" si="1"/>
        <v>French-2- (Jamine)</v>
      </c>
    </row>
    <row r="80" spans="1:9" s="35" customFormat="1" ht="27" x14ac:dyDescent="0.25">
      <c r="A80" s="29">
        <v>79</v>
      </c>
      <c r="B80" s="30" t="s">
        <v>109</v>
      </c>
      <c r="C80" s="31" t="s">
        <v>37</v>
      </c>
      <c r="D80" s="32">
        <v>2</v>
      </c>
      <c r="E80" s="32">
        <v>4</v>
      </c>
      <c r="F80" s="32"/>
      <c r="G80" s="33" t="s">
        <v>110</v>
      </c>
      <c r="H80" s="34"/>
      <c r="I80" s="35" t="str">
        <f t="shared" si="1"/>
        <v>French-2- (Jamine)</v>
      </c>
    </row>
    <row r="81" spans="1:15" s="35" customFormat="1" ht="27" x14ac:dyDescent="0.25">
      <c r="A81" s="36">
        <v>80</v>
      </c>
      <c r="B81" s="37" t="s">
        <v>111</v>
      </c>
      <c r="C81" s="38" t="s">
        <v>32</v>
      </c>
      <c r="D81" s="39">
        <v>4</v>
      </c>
      <c r="E81" s="39">
        <v>4</v>
      </c>
      <c r="F81" s="39"/>
      <c r="G81" s="40" t="s">
        <v>112</v>
      </c>
      <c r="H81" s="41"/>
      <c r="I81" s="35" t="str">
        <f t="shared" si="1"/>
        <v>English-2- (Kum)</v>
      </c>
    </row>
    <row r="82" spans="1:15" s="35" customFormat="1" ht="27" x14ac:dyDescent="0.25">
      <c r="A82" s="29">
        <v>81</v>
      </c>
      <c r="B82" s="30" t="s">
        <v>111</v>
      </c>
      <c r="C82" s="31" t="s">
        <v>36</v>
      </c>
      <c r="D82" s="32">
        <v>2</v>
      </c>
      <c r="E82" s="32">
        <v>4</v>
      </c>
      <c r="F82" s="32"/>
      <c r="G82" s="33" t="s">
        <v>112</v>
      </c>
      <c r="H82" s="34"/>
      <c r="I82" s="35" t="str">
        <f t="shared" si="1"/>
        <v>English-2- (Kum)</v>
      </c>
    </row>
    <row r="83" spans="1:15" s="35" customFormat="1" ht="27" x14ac:dyDescent="0.25">
      <c r="A83" s="36">
        <v>82</v>
      </c>
      <c r="B83" s="37" t="s">
        <v>111</v>
      </c>
      <c r="C83" s="38" t="s">
        <v>37</v>
      </c>
      <c r="D83" s="39">
        <v>2</v>
      </c>
      <c r="E83" s="39">
        <v>4</v>
      </c>
      <c r="F83" s="39"/>
      <c r="G83" s="40" t="s">
        <v>112</v>
      </c>
      <c r="H83" s="41"/>
      <c r="I83" s="35" t="str">
        <f t="shared" si="1"/>
        <v>English-2- (Kum)</v>
      </c>
      <c r="O83" s="35" t="s">
        <v>113</v>
      </c>
    </row>
    <row r="84" spans="1:15" s="35" customFormat="1" ht="27" x14ac:dyDescent="0.25">
      <c r="A84" s="29">
        <v>83</v>
      </c>
      <c r="B84" s="30" t="s">
        <v>114</v>
      </c>
      <c r="C84" s="31" t="s">
        <v>32</v>
      </c>
      <c r="D84" s="32">
        <v>1</v>
      </c>
      <c r="E84" s="32">
        <v>2</v>
      </c>
      <c r="F84" s="32"/>
      <c r="G84" s="33" t="s">
        <v>115</v>
      </c>
      <c r="H84" s="34"/>
      <c r="I84" s="35" t="str">
        <f t="shared" si="1"/>
        <v>Sports- (Lymonga)</v>
      </c>
      <c r="O84" s="35" t="s">
        <v>113</v>
      </c>
    </row>
    <row r="85" spans="1:15" s="35" customFormat="1" ht="27" x14ac:dyDescent="0.25">
      <c r="A85" s="36">
        <v>84</v>
      </c>
      <c r="B85" s="37" t="s">
        <v>114</v>
      </c>
      <c r="C85" s="38" t="s">
        <v>34</v>
      </c>
      <c r="D85" s="39">
        <v>1</v>
      </c>
      <c r="E85" s="39">
        <v>2</v>
      </c>
      <c r="F85" s="39"/>
      <c r="G85" s="40" t="s">
        <v>115</v>
      </c>
      <c r="H85" s="41"/>
      <c r="I85" s="35" t="str">
        <f t="shared" si="1"/>
        <v>Sports- (Lymonga)</v>
      </c>
      <c r="O85" s="35" t="s">
        <v>113</v>
      </c>
    </row>
    <row r="86" spans="1:15" s="35" customFormat="1" ht="27" x14ac:dyDescent="0.25">
      <c r="A86" s="29">
        <v>85</v>
      </c>
      <c r="B86" s="30" t="s">
        <v>114</v>
      </c>
      <c r="C86" s="31" t="s">
        <v>35</v>
      </c>
      <c r="D86" s="32">
        <v>1</v>
      </c>
      <c r="E86" s="32">
        <v>2</v>
      </c>
      <c r="F86" s="32"/>
      <c r="G86" s="33" t="s">
        <v>115</v>
      </c>
      <c r="H86" s="34"/>
      <c r="I86" s="35" t="str">
        <f t="shared" si="1"/>
        <v>Sports- (Lymonga)</v>
      </c>
      <c r="O86" s="35" t="s">
        <v>113</v>
      </c>
    </row>
    <row r="87" spans="1:15" s="35" customFormat="1" ht="27" x14ac:dyDescent="0.25">
      <c r="A87" s="36">
        <v>86</v>
      </c>
      <c r="B87" s="37" t="s">
        <v>114</v>
      </c>
      <c r="C87" s="38" t="s">
        <v>36</v>
      </c>
      <c r="D87" s="39">
        <v>1</v>
      </c>
      <c r="E87" s="39">
        <v>2</v>
      </c>
      <c r="F87" s="39"/>
      <c r="G87" s="40" t="s">
        <v>115</v>
      </c>
      <c r="H87" s="41"/>
      <c r="I87" s="35" t="str">
        <f t="shared" si="1"/>
        <v>Sports- (Lymonga)</v>
      </c>
      <c r="O87" s="35" t="s">
        <v>113</v>
      </c>
    </row>
    <row r="88" spans="1:15" s="35" customFormat="1" ht="27" x14ac:dyDescent="0.25">
      <c r="A88" s="29">
        <v>87</v>
      </c>
      <c r="B88" s="30" t="s">
        <v>114</v>
      </c>
      <c r="C88" s="31" t="s">
        <v>37</v>
      </c>
      <c r="D88" s="32">
        <v>1</v>
      </c>
      <c r="E88" s="32">
        <v>2</v>
      </c>
      <c r="F88" s="32"/>
      <c r="G88" s="33" t="s">
        <v>115</v>
      </c>
      <c r="H88" s="34"/>
      <c r="I88" s="35" t="str">
        <f t="shared" si="1"/>
        <v>Sports- (Lymonga)</v>
      </c>
      <c r="O88" s="35" t="s">
        <v>113</v>
      </c>
    </row>
    <row r="89" spans="1:15" s="35" customFormat="1" ht="27" x14ac:dyDescent="0.25">
      <c r="A89" s="36">
        <v>88</v>
      </c>
      <c r="B89" s="37" t="s">
        <v>116</v>
      </c>
      <c r="C89" s="38" t="s">
        <v>32</v>
      </c>
      <c r="D89" s="39">
        <v>1</v>
      </c>
      <c r="E89" s="39">
        <v>1</v>
      </c>
      <c r="F89" s="39"/>
      <c r="G89" s="40" t="s">
        <v>117</v>
      </c>
      <c r="H89" s="41"/>
      <c r="I89" s="35" t="str">
        <f t="shared" si="1"/>
        <v>Others mixte associated activities- (Lymonga / Yakana)</v>
      </c>
      <c r="O89" s="35" t="s">
        <v>113</v>
      </c>
    </row>
    <row r="90" spans="1:15" s="35" customFormat="1" ht="27" x14ac:dyDescent="0.25">
      <c r="A90" s="29">
        <v>89</v>
      </c>
      <c r="B90" s="30" t="s">
        <v>116</v>
      </c>
      <c r="C90" s="31" t="s">
        <v>34</v>
      </c>
      <c r="D90" s="32">
        <v>1</v>
      </c>
      <c r="E90" s="32">
        <v>1</v>
      </c>
      <c r="F90" s="32"/>
      <c r="G90" s="33" t="s">
        <v>117</v>
      </c>
      <c r="H90" s="34"/>
      <c r="I90" s="35" t="str">
        <f t="shared" si="1"/>
        <v>Others mixte associated activities- (Lymonga / Yakana)</v>
      </c>
      <c r="O90" s="35" t="s">
        <v>113</v>
      </c>
    </row>
    <row r="91" spans="1:15" s="35" customFormat="1" ht="27" x14ac:dyDescent="0.25">
      <c r="A91" s="36">
        <v>90</v>
      </c>
      <c r="B91" s="37" t="s">
        <v>116</v>
      </c>
      <c r="C91" s="38" t="s">
        <v>35</v>
      </c>
      <c r="D91" s="39">
        <v>1</v>
      </c>
      <c r="E91" s="39">
        <v>1</v>
      </c>
      <c r="F91" s="39"/>
      <c r="G91" s="40" t="s">
        <v>117</v>
      </c>
      <c r="H91" s="41"/>
      <c r="I91" s="35" t="str">
        <f t="shared" si="1"/>
        <v>Others mixte associated activities- (Lymonga / Yakana)</v>
      </c>
      <c r="O91" s="35" t="s">
        <v>113</v>
      </c>
    </row>
    <row r="92" spans="1:15" s="35" customFormat="1" ht="27" x14ac:dyDescent="0.25">
      <c r="A92" s="29">
        <v>91</v>
      </c>
      <c r="B92" s="30" t="s">
        <v>116</v>
      </c>
      <c r="C92" s="31" t="s">
        <v>36</v>
      </c>
      <c r="D92" s="32">
        <v>1</v>
      </c>
      <c r="E92" s="32">
        <v>1</v>
      </c>
      <c r="F92" s="32"/>
      <c r="G92" s="33" t="s">
        <v>117</v>
      </c>
      <c r="H92" s="34"/>
      <c r="I92" s="35" t="str">
        <f t="shared" si="1"/>
        <v>Others mixte associated activities- (Lymonga / Yakana)</v>
      </c>
      <c r="O92" s="35" t="s">
        <v>113</v>
      </c>
    </row>
    <row r="93" spans="1:15" s="35" customFormat="1" ht="27" x14ac:dyDescent="0.25">
      <c r="A93" s="36">
        <v>92</v>
      </c>
      <c r="B93" s="37" t="s">
        <v>116</v>
      </c>
      <c r="C93" s="38" t="s">
        <v>37</v>
      </c>
      <c r="D93" s="39">
        <v>1</v>
      </c>
      <c r="E93" s="39">
        <v>1</v>
      </c>
      <c r="F93" s="39"/>
      <c r="G93" s="40" t="s">
        <v>117</v>
      </c>
      <c r="H93" s="41"/>
      <c r="I93" s="35" t="str">
        <f t="shared" si="1"/>
        <v>Others mixte associated activities- (Lymonga / Yakana)</v>
      </c>
    </row>
    <row r="94" spans="1:15" s="35" customFormat="1" ht="27" x14ac:dyDescent="0.25">
      <c r="A94" s="29">
        <v>93</v>
      </c>
      <c r="B94" s="30" t="s">
        <v>118</v>
      </c>
      <c r="C94" s="31" t="s">
        <v>60</v>
      </c>
      <c r="D94" s="32">
        <v>4</v>
      </c>
      <c r="E94" s="32">
        <v>4</v>
      </c>
      <c r="F94" s="32"/>
      <c r="G94" s="33" t="s">
        <v>119</v>
      </c>
      <c r="H94" s="34"/>
      <c r="I94" s="35" t="str">
        <f t="shared" si="1"/>
        <v>Bench work / Ajustage- (Maxilus)</v>
      </c>
    </row>
    <row r="95" spans="1:15" s="35" customFormat="1" ht="27" x14ac:dyDescent="0.25">
      <c r="A95" s="36">
        <v>94</v>
      </c>
      <c r="B95" s="37" t="s">
        <v>120</v>
      </c>
      <c r="C95" s="38" t="s">
        <v>63</v>
      </c>
      <c r="D95" s="39">
        <v>2</v>
      </c>
      <c r="E95" s="39">
        <v>2</v>
      </c>
      <c r="F95" s="39"/>
      <c r="G95" s="40" t="s">
        <v>119</v>
      </c>
      <c r="H95" s="41"/>
      <c r="I95" s="35" t="str">
        <f t="shared" si="1"/>
        <v>Material technology &amp; workshop processes- (Maxilus)</v>
      </c>
    </row>
    <row r="96" spans="1:15" s="35" customFormat="1" ht="27" x14ac:dyDescent="0.25">
      <c r="A96" s="29">
        <v>95</v>
      </c>
      <c r="B96" s="30" t="s">
        <v>62</v>
      </c>
      <c r="C96" s="31" t="s">
        <v>67</v>
      </c>
      <c r="D96" s="32">
        <v>3</v>
      </c>
      <c r="E96" s="32">
        <v>3</v>
      </c>
      <c r="F96" s="32"/>
      <c r="G96" s="33" t="s">
        <v>119</v>
      </c>
      <c r="H96" s="34"/>
      <c r="I96" s="35" t="str">
        <f t="shared" si="1"/>
        <v>Electrical and electronics technology- (Maxilus)</v>
      </c>
    </row>
    <row r="97" spans="1:9" s="35" customFormat="1" ht="27" x14ac:dyDescent="0.25">
      <c r="A97" s="36">
        <v>96</v>
      </c>
      <c r="B97" s="37" t="s">
        <v>120</v>
      </c>
      <c r="C97" s="38" t="s">
        <v>67</v>
      </c>
      <c r="D97" s="39">
        <v>3</v>
      </c>
      <c r="E97" s="39">
        <v>2</v>
      </c>
      <c r="F97" s="39"/>
      <c r="G97" s="40" t="s">
        <v>119</v>
      </c>
      <c r="H97" s="41"/>
      <c r="I97" s="35" t="str">
        <f t="shared" si="1"/>
        <v>Material technology &amp; workshop processes- (Maxilus)</v>
      </c>
    </row>
    <row r="98" spans="1:9" s="35" customFormat="1" ht="27" x14ac:dyDescent="0.25">
      <c r="A98" s="29">
        <v>97</v>
      </c>
      <c r="B98" s="30" t="s">
        <v>64</v>
      </c>
      <c r="C98" s="31" t="s">
        <v>67</v>
      </c>
      <c r="D98" s="32">
        <v>2</v>
      </c>
      <c r="E98" s="32">
        <v>2</v>
      </c>
      <c r="F98" s="32"/>
      <c r="G98" s="33" t="s">
        <v>119</v>
      </c>
      <c r="H98" s="34"/>
      <c r="I98" s="35" t="str">
        <f t="shared" si="1"/>
        <v>Mechanical technology- (Maxilus)</v>
      </c>
    </row>
    <row r="99" spans="1:9" s="35" customFormat="1" ht="27" x14ac:dyDescent="0.25">
      <c r="A99" s="36">
        <v>98</v>
      </c>
      <c r="B99" s="37" t="s">
        <v>121</v>
      </c>
      <c r="C99" s="38" t="s">
        <v>122</v>
      </c>
      <c r="D99" s="39">
        <v>2</v>
      </c>
      <c r="E99" s="39">
        <v>2</v>
      </c>
      <c r="F99" s="39"/>
      <c r="G99" s="40" t="s">
        <v>123</v>
      </c>
      <c r="H99" s="41"/>
      <c r="I99" s="35" t="str">
        <f t="shared" si="1"/>
        <v>Physical/engineering sciences- (Mbah)</v>
      </c>
    </row>
    <row r="100" spans="1:9" s="35" customFormat="1" ht="27" x14ac:dyDescent="0.25">
      <c r="A100" s="29">
        <v>99</v>
      </c>
      <c r="B100" s="30" t="s">
        <v>121</v>
      </c>
      <c r="C100" s="31" t="s">
        <v>124</v>
      </c>
      <c r="D100" s="32">
        <v>2</v>
      </c>
      <c r="E100" s="32">
        <v>2</v>
      </c>
      <c r="F100" s="32"/>
      <c r="G100" s="33" t="s">
        <v>123</v>
      </c>
      <c r="H100" s="34"/>
      <c r="I100" s="35" t="str">
        <f t="shared" si="1"/>
        <v>Physical/engineering sciences- (Mbah)</v>
      </c>
    </row>
    <row r="101" spans="1:9" s="35" customFormat="1" ht="27" x14ac:dyDescent="0.25">
      <c r="A101" s="36">
        <v>100</v>
      </c>
      <c r="B101" s="37" t="s">
        <v>121</v>
      </c>
      <c r="C101" s="38" t="s">
        <v>125</v>
      </c>
      <c r="D101" s="39">
        <v>2</v>
      </c>
      <c r="E101" s="39">
        <v>2</v>
      </c>
      <c r="F101" s="39"/>
      <c r="G101" s="40" t="s">
        <v>123</v>
      </c>
      <c r="H101" s="41"/>
      <c r="I101" s="35" t="str">
        <f t="shared" si="1"/>
        <v>Physical/engineering sciences- (Mbah)</v>
      </c>
    </row>
    <row r="102" spans="1:9" s="35" customFormat="1" ht="27" x14ac:dyDescent="0.25">
      <c r="A102" s="29">
        <v>101</v>
      </c>
      <c r="B102" s="30" t="s">
        <v>121</v>
      </c>
      <c r="C102" s="31" t="s">
        <v>126</v>
      </c>
      <c r="D102" s="32">
        <v>2</v>
      </c>
      <c r="E102" s="32">
        <v>2</v>
      </c>
      <c r="F102" s="32"/>
      <c r="G102" s="33" t="s">
        <v>123</v>
      </c>
      <c r="H102" s="34"/>
      <c r="I102" s="35" t="str">
        <f t="shared" si="1"/>
        <v>Physical/engineering sciences- (Mbah)</v>
      </c>
    </row>
    <row r="103" spans="1:9" s="35" customFormat="1" ht="27" x14ac:dyDescent="0.25">
      <c r="A103" s="36">
        <v>102</v>
      </c>
      <c r="B103" s="37" t="s">
        <v>121</v>
      </c>
      <c r="C103" s="38" t="s">
        <v>127</v>
      </c>
      <c r="D103" s="39">
        <v>2</v>
      </c>
      <c r="E103" s="39">
        <v>2</v>
      </c>
      <c r="F103" s="39"/>
      <c r="G103" s="40" t="s">
        <v>123</v>
      </c>
      <c r="H103" s="41"/>
      <c r="I103" s="35" t="str">
        <f t="shared" si="1"/>
        <v>Physical/engineering sciences- (Mbah)</v>
      </c>
    </row>
    <row r="104" spans="1:9" s="35" customFormat="1" ht="58.5" x14ac:dyDescent="0.25">
      <c r="A104" s="29">
        <v>103</v>
      </c>
      <c r="B104" s="30" t="s">
        <v>128</v>
      </c>
      <c r="C104" s="31" t="s">
        <v>129</v>
      </c>
      <c r="D104" s="32">
        <v>1</v>
      </c>
      <c r="E104" s="32">
        <v>2</v>
      </c>
      <c r="F104" s="32"/>
      <c r="G104" s="33" t="s">
        <v>123</v>
      </c>
      <c r="H104" s="34"/>
      <c r="I104" s="35" t="str">
        <f t="shared" si="1"/>
        <v>ICT (Computer science)- (Mbah)</v>
      </c>
    </row>
    <row r="105" spans="1:9" s="35" customFormat="1" ht="58.5" x14ac:dyDescent="0.25">
      <c r="A105" s="36">
        <v>104</v>
      </c>
      <c r="B105" s="37" t="s">
        <v>128</v>
      </c>
      <c r="C105" s="38" t="s">
        <v>130</v>
      </c>
      <c r="D105" s="39">
        <v>1</v>
      </c>
      <c r="E105" s="39">
        <v>2</v>
      </c>
      <c r="F105" s="39"/>
      <c r="G105" s="40" t="s">
        <v>123</v>
      </c>
      <c r="H105" s="41"/>
      <c r="I105" s="35" t="str">
        <f t="shared" si="1"/>
        <v>ICT (Computer science)- (Mbah)</v>
      </c>
    </row>
    <row r="106" spans="1:9" s="35" customFormat="1" ht="39" x14ac:dyDescent="0.25">
      <c r="A106" s="29">
        <v>105</v>
      </c>
      <c r="B106" s="30" t="s">
        <v>128</v>
      </c>
      <c r="C106" s="31" t="s">
        <v>131</v>
      </c>
      <c r="D106" s="32">
        <v>2</v>
      </c>
      <c r="E106" s="32">
        <v>2</v>
      </c>
      <c r="F106" s="32"/>
      <c r="G106" s="33" t="s">
        <v>123</v>
      </c>
      <c r="H106" s="34"/>
      <c r="I106" s="35" t="str">
        <f t="shared" si="1"/>
        <v>ICT (Computer science)- (Mbah)</v>
      </c>
    </row>
    <row r="107" spans="1:9" s="35" customFormat="1" ht="39" x14ac:dyDescent="0.25">
      <c r="A107" s="36">
        <v>106</v>
      </c>
      <c r="B107" s="37" t="s">
        <v>128</v>
      </c>
      <c r="C107" s="38" t="s">
        <v>132</v>
      </c>
      <c r="D107" s="39">
        <v>2</v>
      </c>
      <c r="E107" s="39">
        <v>2</v>
      </c>
      <c r="F107" s="39"/>
      <c r="G107" s="40" t="s">
        <v>123</v>
      </c>
      <c r="H107" s="41"/>
      <c r="I107" s="35" t="str">
        <f t="shared" si="1"/>
        <v>ICT (Computer science)- (Mbah)</v>
      </c>
    </row>
    <row r="108" spans="1:9" s="35" customFormat="1" ht="27" x14ac:dyDescent="0.25">
      <c r="A108" s="29">
        <v>107</v>
      </c>
      <c r="B108" s="30" t="s">
        <v>62</v>
      </c>
      <c r="C108" s="31" t="s">
        <v>133</v>
      </c>
      <c r="D108" s="32">
        <v>3</v>
      </c>
      <c r="E108" s="32">
        <v>3</v>
      </c>
      <c r="F108" s="32"/>
      <c r="G108" s="33" t="s">
        <v>134</v>
      </c>
      <c r="H108" s="34"/>
      <c r="I108" s="35" t="str">
        <f t="shared" si="1"/>
        <v>Electrical and electronics technology- (Nana)</v>
      </c>
    </row>
    <row r="109" spans="1:9" s="35" customFormat="1" ht="27" x14ac:dyDescent="0.25">
      <c r="A109" s="36">
        <v>108</v>
      </c>
      <c r="B109" s="37" t="s">
        <v>120</v>
      </c>
      <c r="C109" s="38" t="s">
        <v>133</v>
      </c>
      <c r="D109" s="39">
        <v>3</v>
      </c>
      <c r="E109" s="39">
        <v>3</v>
      </c>
      <c r="F109" s="39"/>
      <c r="G109" s="40" t="s">
        <v>134</v>
      </c>
      <c r="H109" s="41"/>
      <c r="I109" s="35" t="str">
        <f t="shared" si="1"/>
        <v>Material technology &amp; workshop processes- (Nana)</v>
      </c>
    </row>
    <row r="110" spans="1:9" s="35" customFormat="1" ht="27" x14ac:dyDescent="0.25">
      <c r="A110" s="29">
        <v>109</v>
      </c>
      <c r="B110" s="30" t="s">
        <v>64</v>
      </c>
      <c r="C110" s="31" t="s">
        <v>133</v>
      </c>
      <c r="D110" s="32">
        <v>3</v>
      </c>
      <c r="E110" s="32">
        <v>3</v>
      </c>
      <c r="F110" s="32"/>
      <c r="G110" s="33" t="s">
        <v>134</v>
      </c>
      <c r="H110" s="34"/>
      <c r="I110" s="35" t="str">
        <f t="shared" si="1"/>
        <v>Mechanical technology- (Nana)</v>
      </c>
    </row>
    <row r="111" spans="1:9" s="35" customFormat="1" ht="54" x14ac:dyDescent="0.25">
      <c r="A111" s="36">
        <v>110</v>
      </c>
      <c r="B111" s="37" t="s">
        <v>66</v>
      </c>
      <c r="C111" s="38" t="s">
        <v>133</v>
      </c>
      <c r="D111" s="39">
        <v>3</v>
      </c>
      <c r="E111" s="39">
        <v>3</v>
      </c>
      <c r="F111" s="39"/>
      <c r="G111" s="40" t="s">
        <v>134</v>
      </c>
      <c r="H111" s="41"/>
      <c r="I111" s="35" t="str">
        <f t="shared" si="1"/>
        <v>Practical for electrical and electronic technology- (Nana)</v>
      </c>
    </row>
    <row r="112" spans="1:9" s="35" customFormat="1" ht="27" x14ac:dyDescent="0.25">
      <c r="A112" s="29">
        <v>111</v>
      </c>
      <c r="B112" s="30" t="s">
        <v>65</v>
      </c>
      <c r="C112" s="31" t="s">
        <v>133</v>
      </c>
      <c r="D112" s="32">
        <v>4</v>
      </c>
      <c r="E112" s="32">
        <v>3</v>
      </c>
      <c r="F112" s="32"/>
      <c r="G112" s="33" t="s">
        <v>134</v>
      </c>
      <c r="H112" s="34"/>
      <c r="I112" s="35" t="str">
        <f t="shared" si="1"/>
        <v>Practical for mechanical technology- (Nana)</v>
      </c>
    </row>
    <row r="113" spans="1:9" s="35" customFormat="1" ht="27" x14ac:dyDescent="0.25">
      <c r="A113" s="36">
        <v>112</v>
      </c>
      <c r="B113" s="37" t="s">
        <v>38</v>
      </c>
      <c r="C113" s="38" t="s">
        <v>76</v>
      </c>
      <c r="D113" s="39">
        <v>2</v>
      </c>
      <c r="E113" s="39">
        <v>4</v>
      </c>
      <c r="F113" s="39"/>
      <c r="G113" s="40" t="s">
        <v>135</v>
      </c>
      <c r="H113" s="41"/>
      <c r="I113" s="35" t="str">
        <f t="shared" si="1"/>
        <v>Technical drawing- (Numfor)</v>
      </c>
    </row>
    <row r="114" spans="1:9" s="35" customFormat="1" ht="27" x14ac:dyDescent="0.25">
      <c r="A114" s="29">
        <v>113</v>
      </c>
      <c r="B114" s="30" t="s">
        <v>136</v>
      </c>
      <c r="C114" s="31" t="s">
        <v>76</v>
      </c>
      <c r="D114" s="32">
        <v>2</v>
      </c>
      <c r="E114" s="32">
        <v>2</v>
      </c>
      <c r="F114" s="32"/>
      <c r="G114" s="33" t="s">
        <v>135</v>
      </c>
      <c r="H114" s="34"/>
      <c r="I114" s="35" t="str">
        <f t="shared" si="1"/>
        <v>Materials- (Numfor)</v>
      </c>
    </row>
    <row r="115" spans="1:9" s="35" customFormat="1" ht="27" x14ac:dyDescent="0.25">
      <c r="A115" s="36">
        <v>114</v>
      </c>
      <c r="B115" s="37" t="s">
        <v>77</v>
      </c>
      <c r="C115" s="38" t="s">
        <v>76</v>
      </c>
      <c r="D115" s="39">
        <v>2</v>
      </c>
      <c r="E115" s="39">
        <v>2</v>
      </c>
      <c r="F115" s="39"/>
      <c r="G115" s="40" t="s">
        <v>135</v>
      </c>
      <c r="H115" s="41"/>
      <c r="I115" s="35" t="str">
        <f t="shared" si="1"/>
        <v>Quantity and Estimation- (Numfor)</v>
      </c>
    </row>
    <row r="116" spans="1:9" s="35" customFormat="1" ht="27" x14ac:dyDescent="0.25">
      <c r="A116" s="29">
        <v>115</v>
      </c>
      <c r="B116" s="30" t="s">
        <v>136</v>
      </c>
      <c r="C116" s="31" t="s">
        <v>72</v>
      </c>
      <c r="D116" s="32">
        <v>2</v>
      </c>
      <c r="E116" s="32">
        <v>2</v>
      </c>
      <c r="F116" s="32"/>
      <c r="G116" s="33" t="s">
        <v>135</v>
      </c>
      <c r="H116" s="34"/>
      <c r="I116" s="35" t="str">
        <f t="shared" si="1"/>
        <v>Materials- (Numfor)</v>
      </c>
    </row>
    <row r="117" spans="1:9" s="35" customFormat="1" ht="27" x14ac:dyDescent="0.25">
      <c r="A117" s="36">
        <v>116</v>
      </c>
      <c r="B117" s="37" t="s">
        <v>74</v>
      </c>
      <c r="C117" s="38" t="s">
        <v>72</v>
      </c>
      <c r="D117" s="39">
        <v>4</v>
      </c>
      <c r="E117" s="39">
        <v>8</v>
      </c>
      <c r="F117" s="39"/>
      <c r="G117" s="40" t="s">
        <v>135</v>
      </c>
      <c r="H117" s="41"/>
      <c r="I117" s="35" t="str">
        <f t="shared" si="1"/>
        <v>Practicals BC- (Numfor)</v>
      </c>
    </row>
    <row r="118" spans="1:9" s="35" customFormat="1" ht="27" x14ac:dyDescent="0.25">
      <c r="A118" s="29">
        <v>117</v>
      </c>
      <c r="B118" s="30" t="s">
        <v>59</v>
      </c>
      <c r="C118" s="31" t="s">
        <v>72</v>
      </c>
      <c r="D118" s="32">
        <v>2</v>
      </c>
      <c r="E118" s="32">
        <v>3</v>
      </c>
      <c r="F118" s="32"/>
      <c r="G118" s="33" t="s">
        <v>135</v>
      </c>
      <c r="H118" s="34"/>
      <c r="I118" s="35" t="str">
        <f t="shared" si="1"/>
        <v>Technology- (Numfor)</v>
      </c>
    </row>
    <row r="119" spans="1:9" s="35" customFormat="1" ht="27" x14ac:dyDescent="0.25">
      <c r="A119" s="36">
        <v>118</v>
      </c>
      <c r="B119" s="37" t="s">
        <v>74</v>
      </c>
      <c r="C119" s="38" t="s">
        <v>127</v>
      </c>
      <c r="D119" s="39">
        <v>4</v>
      </c>
      <c r="E119" s="39">
        <v>8</v>
      </c>
      <c r="F119" s="39"/>
      <c r="G119" s="40" t="s">
        <v>135</v>
      </c>
      <c r="H119" s="41"/>
      <c r="I119" s="35" t="str">
        <f t="shared" si="1"/>
        <v>Practicals BC- (Numfor)</v>
      </c>
    </row>
    <row r="120" spans="1:9" s="35" customFormat="1" ht="27" x14ac:dyDescent="0.25">
      <c r="A120" s="29">
        <v>119</v>
      </c>
      <c r="B120" s="30" t="s">
        <v>137</v>
      </c>
      <c r="C120" s="31" t="s">
        <v>127</v>
      </c>
      <c r="D120" s="32">
        <v>3</v>
      </c>
      <c r="E120" s="32">
        <v>3</v>
      </c>
      <c r="F120" s="32"/>
      <c r="G120" s="33" t="s">
        <v>135</v>
      </c>
      <c r="H120" s="34"/>
      <c r="I120" s="35" t="str">
        <f t="shared" si="1"/>
        <v>Soil and Materials- (Numfor)</v>
      </c>
    </row>
    <row r="121" spans="1:9" s="35" customFormat="1" ht="27" x14ac:dyDescent="0.25">
      <c r="A121" s="36">
        <v>120</v>
      </c>
      <c r="B121" s="37" t="s">
        <v>59</v>
      </c>
      <c r="C121" s="38" t="s">
        <v>127</v>
      </c>
      <c r="D121" s="39">
        <v>2</v>
      </c>
      <c r="E121" s="39">
        <v>3</v>
      </c>
      <c r="F121" s="39"/>
      <c r="G121" s="40" t="s">
        <v>135</v>
      </c>
      <c r="H121" s="41"/>
      <c r="I121" s="35" t="str">
        <f t="shared" si="1"/>
        <v>Technology- (Numfor)</v>
      </c>
    </row>
    <row r="122" spans="1:9" s="35" customFormat="1" ht="39" x14ac:dyDescent="0.25">
      <c r="A122" s="29">
        <v>121</v>
      </c>
      <c r="B122" s="30" t="s">
        <v>138</v>
      </c>
      <c r="C122" s="31" t="s">
        <v>139</v>
      </c>
      <c r="D122" s="32">
        <v>1</v>
      </c>
      <c r="E122" s="32">
        <v>1</v>
      </c>
      <c r="F122" s="32"/>
      <c r="G122" s="33" t="s">
        <v>140</v>
      </c>
      <c r="H122" s="34"/>
      <c r="I122" s="35" t="str">
        <f t="shared" si="1"/>
        <v>Guardians and councelling- (Odette nurse)</v>
      </c>
    </row>
    <row r="123" spans="1:9" s="35" customFormat="1" ht="39" x14ac:dyDescent="0.25">
      <c r="A123" s="36">
        <v>122</v>
      </c>
      <c r="B123" s="37" t="s">
        <v>138</v>
      </c>
      <c r="C123" s="38" t="s">
        <v>141</v>
      </c>
      <c r="D123" s="39">
        <v>1</v>
      </c>
      <c r="E123" s="39">
        <v>1</v>
      </c>
      <c r="F123" s="39"/>
      <c r="G123" s="40" t="s">
        <v>140</v>
      </c>
      <c r="H123" s="41"/>
      <c r="I123" s="35" t="str">
        <f t="shared" si="1"/>
        <v>Guardians and councelling- (Odette nurse)</v>
      </c>
    </row>
    <row r="124" spans="1:9" s="35" customFormat="1" ht="39" x14ac:dyDescent="0.25">
      <c r="A124" s="29">
        <v>123</v>
      </c>
      <c r="B124" s="30" t="s">
        <v>138</v>
      </c>
      <c r="C124" s="31" t="s">
        <v>142</v>
      </c>
      <c r="D124" s="32">
        <v>1</v>
      </c>
      <c r="E124" s="32">
        <v>1</v>
      </c>
      <c r="F124" s="32"/>
      <c r="G124" s="33" t="s">
        <v>140</v>
      </c>
      <c r="H124" s="34"/>
      <c r="I124" s="35" t="str">
        <f t="shared" si="1"/>
        <v>Guardians and councelling- (Odette nurse)</v>
      </c>
    </row>
    <row r="125" spans="1:9" s="35" customFormat="1" ht="27" x14ac:dyDescent="0.25">
      <c r="A125" s="36">
        <v>124</v>
      </c>
      <c r="B125" s="37" t="s">
        <v>138</v>
      </c>
      <c r="C125" s="38" t="s">
        <v>143</v>
      </c>
      <c r="D125" s="39">
        <v>1</v>
      </c>
      <c r="E125" s="39">
        <v>1</v>
      </c>
      <c r="F125" s="39"/>
      <c r="G125" s="40" t="s">
        <v>140</v>
      </c>
      <c r="H125" s="41"/>
      <c r="I125" s="35" t="str">
        <f t="shared" si="1"/>
        <v>Guardians and councelling- (Odette nurse)</v>
      </c>
    </row>
    <row r="126" spans="1:9" s="35" customFormat="1" ht="27" x14ac:dyDescent="0.25">
      <c r="A126" s="29">
        <v>125</v>
      </c>
      <c r="B126" s="30" t="s">
        <v>138</v>
      </c>
      <c r="C126" s="31" t="s">
        <v>127</v>
      </c>
      <c r="D126" s="32">
        <v>1</v>
      </c>
      <c r="E126" s="32">
        <v>1</v>
      </c>
      <c r="F126" s="32"/>
      <c r="G126" s="33" t="s">
        <v>140</v>
      </c>
      <c r="H126" s="34"/>
      <c r="I126" s="35" t="str">
        <f t="shared" si="1"/>
        <v>Guardians and councelling- (Odette nurse)</v>
      </c>
    </row>
    <row r="127" spans="1:9" s="35" customFormat="1" ht="39" x14ac:dyDescent="0.25">
      <c r="A127" s="36">
        <v>126</v>
      </c>
      <c r="B127" s="37" t="s">
        <v>144</v>
      </c>
      <c r="C127" s="38" t="s">
        <v>145</v>
      </c>
      <c r="D127" s="39">
        <v>1</v>
      </c>
      <c r="E127" s="39">
        <v>1</v>
      </c>
      <c r="F127" s="39"/>
      <c r="G127" s="40" t="s">
        <v>140</v>
      </c>
      <c r="H127" s="41"/>
      <c r="I127" s="35" t="str">
        <f t="shared" si="1"/>
        <v>Health - Safety- Environment- (Odette nurse)</v>
      </c>
    </row>
    <row r="128" spans="1:9" s="35" customFormat="1" ht="39" x14ac:dyDescent="0.25">
      <c r="A128" s="29">
        <v>127</v>
      </c>
      <c r="B128" s="30" t="s">
        <v>144</v>
      </c>
      <c r="C128" s="31" t="s">
        <v>146</v>
      </c>
      <c r="D128" s="32">
        <v>1</v>
      </c>
      <c r="E128" s="32">
        <v>1</v>
      </c>
      <c r="F128" s="32"/>
      <c r="G128" s="33" t="s">
        <v>140</v>
      </c>
      <c r="H128" s="34"/>
      <c r="I128" s="35" t="str">
        <f t="shared" si="1"/>
        <v>Health - Safety- Environment- (Odette nurse)</v>
      </c>
    </row>
    <row r="129" spans="1:9" s="35" customFormat="1" ht="39" x14ac:dyDescent="0.25">
      <c r="A129" s="36">
        <v>128</v>
      </c>
      <c r="B129" s="37" t="s">
        <v>144</v>
      </c>
      <c r="C129" s="38" t="s">
        <v>147</v>
      </c>
      <c r="D129" s="39">
        <v>1</v>
      </c>
      <c r="E129" s="39">
        <v>1</v>
      </c>
      <c r="F129" s="39"/>
      <c r="G129" s="40" t="s">
        <v>140</v>
      </c>
      <c r="H129" s="41"/>
      <c r="I129" s="35" t="str">
        <f t="shared" ref="I129:I192" si="2">""&amp;B129&amp;"- ("&amp;G129&amp;")"</f>
        <v>Health - Safety- Environment- (Odette nurse)</v>
      </c>
    </row>
    <row r="130" spans="1:9" s="35" customFormat="1" ht="39" x14ac:dyDescent="0.25">
      <c r="A130" s="29">
        <v>129</v>
      </c>
      <c r="B130" s="30" t="s">
        <v>144</v>
      </c>
      <c r="C130" s="31" t="s">
        <v>148</v>
      </c>
      <c r="D130" s="32">
        <v>1</v>
      </c>
      <c r="E130" s="32">
        <v>1</v>
      </c>
      <c r="F130" s="32"/>
      <c r="G130" s="33" t="s">
        <v>140</v>
      </c>
      <c r="H130" s="34"/>
      <c r="I130" s="35" t="str">
        <f t="shared" si="2"/>
        <v>Health - Safety- Environment- (Odette nurse)</v>
      </c>
    </row>
    <row r="131" spans="1:9" s="35" customFormat="1" ht="27" x14ac:dyDescent="0.25">
      <c r="A131" s="36">
        <v>130</v>
      </c>
      <c r="B131" s="37" t="s">
        <v>144</v>
      </c>
      <c r="C131" s="38" t="s">
        <v>127</v>
      </c>
      <c r="D131" s="39">
        <v>1</v>
      </c>
      <c r="E131" s="39">
        <v>1</v>
      </c>
      <c r="F131" s="39"/>
      <c r="G131" s="40" t="s">
        <v>140</v>
      </c>
      <c r="H131" s="41"/>
      <c r="I131" s="35" t="str">
        <f t="shared" si="2"/>
        <v>Health - Safety- Environment- (Odette nurse)</v>
      </c>
    </row>
    <row r="132" spans="1:9" s="35" customFormat="1" ht="27" x14ac:dyDescent="0.25">
      <c r="A132" s="29">
        <v>131</v>
      </c>
      <c r="B132" s="30" t="s">
        <v>149</v>
      </c>
      <c r="C132" s="31" t="s">
        <v>29</v>
      </c>
      <c r="D132" s="32">
        <v>2</v>
      </c>
      <c r="E132" s="32">
        <v>2</v>
      </c>
      <c r="F132" s="32"/>
      <c r="G132" s="33" t="s">
        <v>140</v>
      </c>
      <c r="H132" s="34"/>
      <c r="I132" s="35" t="str">
        <f t="shared" si="2"/>
        <v>Natural science- (Odette nurse)</v>
      </c>
    </row>
    <row r="133" spans="1:9" s="35" customFormat="1" ht="27" x14ac:dyDescent="0.25">
      <c r="A133" s="36">
        <v>132</v>
      </c>
      <c r="B133" s="37" t="s">
        <v>149</v>
      </c>
      <c r="C133" s="38" t="s">
        <v>28</v>
      </c>
      <c r="D133" s="39">
        <v>2</v>
      </c>
      <c r="E133" s="39">
        <v>2</v>
      </c>
      <c r="F133" s="39"/>
      <c r="G133" s="40" t="s">
        <v>140</v>
      </c>
      <c r="H133" s="41"/>
      <c r="I133" s="35" t="str">
        <f t="shared" si="2"/>
        <v>Natural science- (Odette nurse)</v>
      </c>
    </row>
    <row r="134" spans="1:9" s="35" customFormat="1" ht="27" x14ac:dyDescent="0.25">
      <c r="A134" s="29">
        <v>133</v>
      </c>
      <c r="B134" s="30" t="s">
        <v>59</v>
      </c>
      <c r="C134" s="31" t="s">
        <v>108</v>
      </c>
      <c r="D134" s="32">
        <v>2</v>
      </c>
      <c r="E134" s="32">
        <v>3</v>
      </c>
      <c r="F134" s="32"/>
      <c r="G134" s="33" t="s">
        <v>150</v>
      </c>
      <c r="H134" s="34"/>
      <c r="I134" s="35" t="str">
        <f t="shared" si="2"/>
        <v>Technology- (Petoh)</v>
      </c>
    </row>
    <row r="135" spans="1:9" s="35" customFormat="1" ht="54" x14ac:dyDescent="0.25">
      <c r="A135" s="36">
        <v>134</v>
      </c>
      <c r="B135" s="37" t="s">
        <v>46</v>
      </c>
      <c r="C135" s="38" t="s">
        <v>42</v>
      </c>
      <c r="D135" s="39">
        <v>2</v>
      </c>
      <c r="E135" s="39">
        <v>2</v>
      </c>
      <c r="F135" s="39"/>
      <c r="G135" s="40" t="s">
        <v>150</v>
      </c>
      <c r="H135" s="41"/>
      <c r="I135" s="35" t="str">
        <f t="shared" si="2"/>
        <v>Technology of equipments and electrical installations - (Petoh)</v>
      </c>
    </row>
    <row r="136" spans="1:9" s="35" customFormat="1" ht="27" x14ac:dyDescent="0.25">
      <c r="A136" s="29">
        <v>135</v>
      </c>
      <c r="B136" s="30" t="s">
        <v>105</v>
      </c>
      <c r="C136" s="31" t="s">
        <v>39</v>
      </c>
      <c r="D136" s="32">
        <v>2</v>
      </c>
      <c r="E136" s="32">
        <v>3</v>
      </c>
      <c r="F136" s="32"/>
      <c r="G136" s="33" t="s">
        <v>150</v>
      </c>
      <c r="H136" s="34"/>
      <c r="I136" s="35" t="str">
        <f t="shared" si="2"/>
        <v>Electric circuits- (Petoh)</v>
      </c>
    </row>
    <row r="137" spans="1:9" s="35" customFormat="1" ht="27" x14ac:dyDescent="0.25">
      <c r="A137" s="36">
        <v>136</v>
      </c>
      <c r="B137" s="37" t="s">
        <v>151</v>
      </c>
      <c r="C137" s="38" t="s">
        <v>39</v>
      </c>
      <c r="D137" s="39">
        <v>2</v>
      </c>
      <c r="E137" s="39">
        <v>3</v>
      </c>
      <c r="F137" s="39"/>
      <c r="G137" s="40" t="s">
        <v>150</v>
      </c>
      <c r="H137" s="41"/>
      <c r="I137" s="35" t="str">
        <f t="shared" si="2"/>
        <v>Electrical test and measurements- (Petoh)</v>
      </c>
    </row>
    <row r="138" spans="1:9" s="35" customFormat="1" ht="27" x14ac:dyDescent="0.25">
      <c r="A138" s="29">
        <v>137</v>
      </c>
      <c r="B138" s="30" t="s">
        <v>43</v>
      </c>
      <c r="C138" s="31" t="s">
        <v>45</v>
      </c>
      <c r="D138" s="32">
        <v>2</v>
      </c>
      <c r="E138" s="32">
        <v>2</v>
      </c>
      <c r="F138" s="32"/>
      <c r="G138" s="33" t="s">
        <v>150</v>
      </c>
      <c r="H138" s="34"/>
      <c r="I138" s="35" t="str">
        <f t="shared" si="2"/>
        <v>Electrical diagrams- (Petoh)</v>
      </c>
    </row>
    <row r="139" spans="1:9" s="35" customFormat="1" ht="54" x14ac:dyDescent="0.25">
      <c r="A139" s="36">
        <v>138</v>
      </c>
      <c r="B139" s="37" t="s">
        <v>152</v>
      </c>
      <c r="C139" s="38" t="s">
        <v>45</v>
      </c>
      <c r="D139" s="39">
        <v>2</v>
      </c>
      <c r="E139" s="39">
        <v>2</v>
      </c>
      <c r="F139" s="39"/>
      <c r="G139" s="40" t="s">
        <v>150</v>
      </c>
      <c r="H139" s="41"/>
      <c r="I139" s="35" t="str">
        <f t="shared" si="2"/>
        <v>Generation, Transport and Distribution of electrical energy- (Petoh)</v>
      </c>
    </row>
    <row r="140" spans="1:9" s="35" customFormat="1" ht="27" x14ac:dyDescent="0.25">
      <c r="A140" s="29">
        <v>139</v>
      </c>
      <c r="B140" s="30" t="s">
        <v>153</v>
      </c>
      <c r="C140" s="31" t="s">
        <v>45</v>
      </c>
      <c r="D140" s="32">
        <v>4</v>
      </c>
      <c r="E140" s="32">
        <v>5</v>
      </c>
      <c r="F140" s="32"/>
      <c r="G140" s="33" t="s">
        <v>150</v>
      </c>
      <c r="H140" s="34"/>
      <c r="I140" s="35" t="str">
        <f t="shared" si="2"/>
        <v>Industrial electrical installations- (Petoh)</v>
      </c>
    </row>
    <row r="141" spans="1:9" s="35" customFormat="1" ht="27" x14ac:dyDescent="0.25">
      <c r="A141" s="36">
        <v>140</v>
      </c>
      <c r="B141" s="37" t="s">
        <v>154</v>
      </c>
      <c r="C141" s="38" t="s">
        <v>52</v>
      </c>
      <c r="D141" s="39">
        <v>2</v>
      </c>
      <c r="E141" s="39">
        <v>6</v>
      </c>
      <c r="F141" s="39"/>
      <c r="G141" s="40" t="s">
        <v>155</v>
      </c>
      <c r="H141" s="41"/>
      <c r="I141" s="35" t="str">
        <f t="shared" si="2"/>
        <v>Sewing- (Ruth)</v>
      </c>
    </row>
    <row r="142" spans="1:9" s="35" customFormat="1" ht="27" x14ac:dyDescent="0.25">
      <c r="A142" s="29">
        <v>141</v>
      </c>
      <c r="B142" s="30" t="s">
        <v>154</v>
      </c>
      <c r="C142" s="31" t="s">
        <v>54</v>
      </c>
      <c r="D142" s="32">
        <v>2</v>
      </c>
      <c r="E142" s="32">
        <v>6</v>
      </c>
      <c r="F142" s="32"/>
      <c r="G142" s="33" t="s">
        <v>155</v>
      </c>
      <c r="H142" s="34"/>
      <c r="I142" s="35" t="str">
        <f t="shared" si="2"/>
        <v>Sewing- (Ruth)</v>
      </c>
    </row>
    <row r="143" spans="1:9" s="35" customFormat="1" ht="27" x14ac:dyDescent="0.25">
      <c r="A143" s="36">
        <v>142</v>
      </c>
      <c r="B143" s="37" t="s">
        <v>51</v>
      </c>
      <c r="C143" s="38" t="s">
        <v>156</v>
      </c>
      <c r="D143" s="39">
        <v>2</v>
      </c>
      <c r="E143" s="39">
        <v>3</v>
      </c>
      <c r="F143" s="39"/>
      <c r="G143" s="40" t="s">
        <v>155</v>
      </c>
      <c r="H143" s="41"/>
      <c r="I143" s="35" t="str">
        <f t="shared" si="2"/>
        <v>Fashion drawing- (Ruth)</v>
      </c>
    </row>
    <row r="144" spans="1:9" s="35" customFormat="1" ht="27" x14ac:dyDescent="0.25">
      <c r="A144" s="29">
        <v>143</v>
      </c>
      <c r="B144" s="30" t="s">
        <v>51</v>
      </c>
      <c r="C144" s="31" t="s">
        <v>57</v>
      </c>
      <c r="D144" s="32">
        <v>2</v>
      </c>
      <c r="E144" s="32">
        <v>3</v>
      </c>
      <c r="F144" s="32"/>
      <c r="G144" s="33" t="s">
        <v>155</v>
      </c>
      <c r="H144" s="34"/>
      <c r="I144" s="35" t="str">
        <f t="shared" si="2"/>
        <v>Fashion drawing- (Ruth)</v>
      </c>
    </row>
    <row r="145" spans="1:9" s="35" customFormat="1" ht="27" x14ac:dyDescent="0.25">
      <c r="A145" s="36">
        <v>144</v>
      </c>
      <c r="B145" s="37" t="s">
        <v>55</v>
      </c>
      <c r="C145" s="38" t="s">
        <v>156</v>
      </c>
      <c r="D145" s="39">
        <v>2</v>
      </c>
      <c r="E145" s="39">
        <v>3</v>
      </c>
      <c r="F145" s="39"/>
      <c r="G145" s="40" t="s">
        <v>155</v>
      </c>
      <c r="H145" s="41"/>
      <c r="I145" s="35" t="str">
        <f t="shared" si="2"/>
        <v>Pattern Drafting- (Ruth)</v>
      </c>
    </row>
    <row r="146" spans="1:9" s="35" customFormat="1" ht="27" x14ac:dyDescent="0.25">
      <c r="A146" s="29">
        <v>145</v>
      </c>
      <c r="B146" s="30" t="s">
        <v>55</v>
      </c>
      <c r="C146" s="31" t="s">
        <v>57</v>
      </c>
      <c r="D146" s="32">
        <v>2</v>
      </c>
      <c r="E146" s="32">
        <v>3</v>
      </c>
      <c r="F146" s="32"/>
      <c r="G146" s="33" t="s">
        <v>155</v>
      </c>
      <c r="H146" s="34"/>
      <c r="I146" s="35" t="str">
        <f t="shared" si="2"/>
        <v>Pattern Drafting- (Ruth)</v>
      </c>
    </row>
    <row r="147" spans="1:9" s="35" customFormat="1" ht="27" x14ac:dyDescent="0.25">
      <c r="A147" s="36">
        <v>146</v>
      </c>
      <c r="B147" s="37" t="s">
        <v>154</v>
      </c>
      <c r="C147" s="38" t="s">
        <v>156</v>
      </c>
      <c r="D147" s="39">
        <v>2</v>
      </c>
      <c r="E147" s="39">
        <v>5</v>
      </c>
      <c r="F147" s="39"/>
      <c r="G147" s="40" t="s">
        <v>155</v>
      </c>
      <c r="H147" s="41"/>
      <c r="I147" s="35" t="str">
        <f t="shared" si="2"/>
        <v>Sewing- (Ruth)</v>
      </c>
    </row>
    <row r="148" spans="1:9" s="35" customFormat="1" ht="27" x14ac:dyDescent="0.25">
      <c r="A148" s="29">
        <v>147</v>
      </c>
      <c r="B148" s="30" t="s">
        <v>154</v>
      </c>
      <c r="C148" s="31" t="s">
        <v>57</v>
      </c>
      <c r="D148" s="32">
        <v>2</v>
      </c>
      <c r="E148" s="32">
        <v>5</v>
      </c>
      <c r="F148" s="32"/>
      <c r="G148" s="33" t="s">
        <v>155</v>
      </c>
      <c r="H148" s="34"/>
      <c r="I148" s="35" t="str">
        <f t="shared" si="2"/>
        <v>Sewing- (Ruth)</v>
      </c>
    </row>
    <row r="149" spans="1:9" s="35" customFormat="1" ht="27" x14ac:dyDescent="0.25">
      <c r="A149" s="36">
        <v>148</v>
      </c>
      <c r="B149" s="37" t="s">
        <v>38</v>
      </c>
      <c r="C149" s="38" t="s">
        <v>156</v>
      </c>
      <c r="D149" s="39">
        <v>1</v>
      </c>
      <c r="E149" s="39">
        <v>2</v>
      </c>
      <c r="F149" s="39"/>
      <c r="G149" s="40" t="s">
        <v>155</v>
      </c>
      <c r="H149" s="41"/>
      <c r="I149" s="35" t="str">
        <f t="shared" si="2"/>
        <v>Technical drawing- (Ruth)</v>
      </c>
    </row>
    <row r="150" spans="1:9" s="35" customFormat="1" ht="27" x14ac:dyDescent="0.25">
      <c r="A150" s="29">
        <v>149</v>
      </c>
      <c r="B150" s="30" t="s">
        <v>38</v>
      </c>
      <c r="C150" s="31" t="s">
        <v>57</v>
      </c>
      <c r="D150" s="32">
        <v>1</v>
      </c>
      <c r="E150" s="32">
        <v>2</v>
      </c>
      <c r="F150" s="32"/>
      <c r="G150" s="33" t="s">
        <v>155</v>
      </c>
      <c r="H150" s="34"/>
      <c r="I150" s="35" t="str">
        <f t="shared" si="2"/>
        <v>Technical drawing- (Ruth)</v>
      </c>
    </row>
    <row r="151" spans="1:9" s="35" customFormat="1" ht="27" x14ac:dyDescent="0.25">
      <c r="A151" s="36">
        <v>150</v>
      </c>
      <c r="B151" s="37" t="s">
        <v>38</v>
      </c>
      <c r="C151" s="38" t="s">
        <v>52</v>
      </c>
      <c r="D151" s="39">
        <v>2</v>
      </c>
      <c r="E151" s="39">
        <v>2</v>
      </c>
      <c r="F151" s="39"/>
      <c r="G151" s="40" t="s">
        <v>155</v>
      </c>
      <c r="H151" s="41"/>
      <c r="I151" s="35" t="str">
        <f t="shared" si="2"/>
        <v>Technical drawing- (Ruth)</v>
      </c>
    </row>
    <row r="152" spans="1:9" s="35" customFormat="1" ht="27" x14ac:dyDescent="0.25">
      <c r="A152" s="29">
        <v>151</v>
      </c>
      <c r="B152" s="30" t="s">
        <v>38</v>
      </c>
      <c r="C152" s="31" t="s">
        <v>54</v>
      </c>
      <c r="D152" s="32">
        <v>2</v>
      </c>
      <c r="E152" s="32">
        <v>2</v>
      </c>
      <c r="F152" s="32"/>
      <c r="G152" s="33" t="s">
        <v>155</v>
      </c>
      <c r="H152" s="34"/>
      <c r="I152" s="35" t="str">
        <f t="shared" si="2"/>
        <v>Technical drawing- (Ruth)</v>
      </c>
    </row>
    <row r="153" spans="1:9" s="35" customFormat="1" ht="27" x14ac:dyDescent="0.25">
      <c r="A153" s="36">
        <v>152</v>
      </c>
      <c r="B153" s="37" t="s">
        <v>56</v>
      </c>
      <c r="C153" s="38" t="s">
        <v>156</v>
      </c>
      <c r="D153" s="39">
        <v>1</v>
      </c>
      <c r="E153" s="39">
        <v>3</v>
      </c>
      <c r="F153" s="39"/>
      <c r="G153" s="40" t="s">
        <v>155</v>
      </c>
      <c r="H153" s="41"/>
      <c r="I153" s="35" t="str">
        <f t="shared" si="2"/>
        <v>Textile and hardware technology- (Ruth)</v>
      </c>
    </row>
    <row r="154" spans="1:9" s="35" customFormat="1" ht="27" x14ac:dyDescent="0.25">
      <c r="A154" s="29">
        <v>153</v>
      </c>
      <c r="B154" s="30" t="s">
        <v>38</v>
      </c>
      <c r="C154" s="31" t="s">
        <v>127</v>
      </c>
      <c r="D154" s="32">
        <v>3</v>
      </c>
      <c r="E154" s="32">
        <v>4</v>
      </c>
      <c r="F154" s="32"/>
      <c r="G154" s="33" t="s">
        <v>157</v>
      </c>
      <c r="H154" s="34"/>
      <c r="I154" s="35" t="str">
        <f t="shared" si="2"/>
        <v>Technical drawing- (Song)</v>
      </c>
    </row>
    <row r="155" spans="1:9" s="35" customFormat="1" ht="27" x14ac:dyDescent="0.25">
      <c r="A155" s="36">
        <v>154</v>
      </c>
      <c r="B155" s="37" t="s">
        <v>74</v>
      </c>
      <c r="C155" s="38" t="s">
        <v>73</v>
      </c>
      <c r="D155" s="39">
        <v>4</v>
      </c>
      <c r="E155" s="39">
        <v>7</v>
      </c>
      <c r="F155" s="39"/>
      <c r="G155" s="40" t="s">
        <v>157</v>
      </c>
      <c r="H155" s="41"/>
      <c r="I155" s="35" t="str">
        <f t="shared" si="2"/>
        <v>Practicals BC- (Song)</v>
      </c>
    </row>
    <row r="156" spans="1:9" s="35" customFormat="1" ht="27" x14ac:dyDescent="0.25">
      <c r="A156" s="29">
        <v>155</v>
      </c>
      <c r="B156" s="30" t="s">
        <v>136</v>
      </c>
      <c r="C156" s="31" t="s">
        <v>75</v>
      </c>
      <c r="D156" s="32">
        <v>2</v>
      </c>
      <c r="E156" s="32">
        <v>2</v>
      </c>
      <c r="F156" s="32"/>
      <c r="G156" s="33" t="s">
        <v>157</v>
      </c>
      <c r="H156" s="34"/>
      <c r="I156" s="35" t="str">
        <f t="shared" si="2"/>
        <v>Materials- (Song)</v>
      </c>
    </row>
    <row r="157" spans="1:9" s="35" customFormat="1" ht="27" x14ac:dyDescent="0.25">
      <c r="A157" s="36">
        <v>156</v>
      </c>
      <c r="B157" s="37" t="s">
        <v>77</v>
      </c>
      <c r="C157" s="38" t="s">
        <v>75</v>
      </c>
      <c r="D157" s="39">
        <v>2</v>
      </c>
      <c r="E157" s="39">
        <v>2</v>
      </c>
      <c r="F157" s="39"/>
      <c r="G157" s="40" t="s">
        <v>157</v>
      </c>
      <c r="H157" s="41"/>
      <c r="I157" s="35" t="str">
        <f t="shared" si="2"/>
        <v>Quantity and Estimation- (Song)</v>
      </c>
    </row>
    <row r="158" spans="1:9" s="35" customFormat="1" ht="27" x14ac:dyDescent="0.25">
      <c r="A158" s="29">
        <v>157</v>
      </c>
      <c r="B158" s="30" t="s">
        <v>74</v>
      </c>
      <c r="C158" s="31" t="s">
        <v>76</v>
      </c>
      <c r="D158" s="32">
        <v>4</v>
      </c>
      <c r="E158" s="32">
        <v>8</v>
      </c>
      <c r="F158" s="32"/>
      <c r="G158" s="33" t="s">
        <v>157</v>
      </c>
      <c r="H158" s="34"/>
      <c r="I158" s="35" t="str">
        <f t="shared" si="2"/>
        <v>Practicals BC- (Song)</v>
      </c>
    </row>
    <row r="159" spans="1:9" s="35" customFormat="1" ht="27" x14ac:dyDescent="0.25">
      <c r="A159" s="36">
        <v>158</v>
      </c>
      <c r="B159" s="37" t="s">
        <v>77</v>
      </c>
      <c r="C159" s="38" t="s">
        <v>127</v>
      </c>
      <c r="D159" s="39">
        <v>2</v>
      </c>
      <c r="E159" s="39">
        <v>2</v>
      </c>
      <c r="F159" s="39"/>
      <c r="G159" s="40" t="s">
        <v>157</v>
      </c>
      <c r="H159" s="41"/>
      <c r="I159" s="35" t="str">
        <f t="shared" si="2"/>
        <v>Quantity and Estimation- (Song)</v>
      </c>
    </row>
    <row r="160" spans="1:9" s="35" customFormat="1" ht="27" x14ac:dyDescent="0.25">
      <c r="A160" s="29">
        <v>159</v>
      </c>
      <c r="B160" s="30" t="s">
        <v>44</v>
      </c>
      <c r="C160" s="31" t="s">
        <v>39</v>
      </c>
      <c r="D160" s="32">
        <v>2</v>
      </c>
      <c r="E160" s="32">
        <v>2</v>
      </c>
      <c r="F160" s="32"/>
      <c r="G160" s="33" t="s">
        <v>158</v>
      </c>
      <c r="H160" s="34"/>
      <c r="I160" s="35" t="str">
        <f t="shared" si="2"/>
        <v>Electrique machines- (Tchio)</v>
      </c>
    </row>
    <row r="161" spans="1:9" s="35" customFormat="1" ht="27" x14ac:dyDescent="0.25">
      <c r="A161" s="36">
        <v>160</v>
      </c>
      <c r="B161" s="37" t="s">
        <v>151</v>
      </c>
      <c r="C161" s="38" t="s">
        <v>42</v>
      </c>
      <c r="D161" s="39">
        <v>2</v>
      </c>
      <c r="E161" s="39">
        <v>3</v>
      </c>
      <c r="F161" s="39"/>
      <c r="G161" s="40" t="s">
        <v>158</v>
      </c>
      <c r="H161" s="41"/>
      <c r="I161" s="35" t="str">
        <f t="shared" si="2"/>
        <v>Electrical test and measurements- (Tchio)</v>
      </c>
    </row>
    <row r="162" spans="1:9" s="35" customFormat="1" ht="54" x14ac:dyDescent="0.25">
      <c r="A162" s="29">
        <v>161</v>
      </c>
      <c r="B162" s="30" t="s">
        <v>46</v>
      </c>
      <c r="C162" s="31" t="s">
        <v>39</v>
      </c>
      <c r="D162" s="32">
        <v>2</v>
      </c>
      <c r="E162" s="32">
        <v>2</v>
      </c>
      <c r="F162" s="32"/>
      <c r="G162" s="33" t="s">
        <v>158</v>
      </c>
      <c r="H162" s="34"/>
      <c r="I162" s="35" t="str">
        <f t="shared" si="2"/>
        <v>Technology of equipments and electrical installations - (Tchio)</v>
      </c>
    </row>
    <row r="163" spans="1:9" s="35" customFormat="1" ht="27" x14ac:dyDescent="0.25">
      <c r="A163" s="36">
        <v>162</v>
      </c>
      <c r="B163" s="37" t="s">
        <v>151</v>
      </c>
      <c r="C163" s="38" t="s">
        <v>45</v>
      </c>
      <c r="D163" s="39">
        <v>2</v>
      </c>
      <c r="E163" s="39">
        <v>3</v>
      </c>
      <c r="F163" s="39"/>
      <c r="G163" s="40" t="s">
        <v>158</v>
      </c>
      <c r="H163" s="41"/>
      <c r="I163" s="35" t="str">
        <f t="shared" si="2"/>
        <v>Electrical test and measurements- (Tchio)</v>
      </c>
    </row>
    <row r="164" spans="1:9" s="35" customFormat="1" ht="27" x14ac:dyDescent="0.25">
      <c r="A164" s="29">
        <v>163</v>
      </c>
      <c r="B164" s="30" t="s">
        <v>159</v>
      </c>
      <c r="C164" s="31" t="s">
        <v>103</v>
      </c>
      <c r="D164" s="32">
        <v>2</v>
      </c>
      <c r="E164" s="32">
        <v>3</v>
      </c>
      <c r="F164" s="32"/>
      <c r="G164" s="33" t="s">
        <v>160</v>
      </c>
      <c r="H164" s="34"/>
      <c r="I164" s="35" t="str">
        <f t="shared" si="2"/>
        <v>International Financial Accounting- (Tume)</v>
      </c>
    </row>
    <row r="165" spans="1:9" s="35" customFormat="1" ht="27" x14ac:dyDescent="0.25">
      <c r="A165" s="36">
        <v>164</v>
      </c>
      <c r="B165" s="37" t="s">
        <v>161</v>
      </c>
      <c r="C165" s="38" t="s">
        <v>103</v>
      </c>
      <c r="D165" s="39">
        <v>1</v>
      </c>
      <c r="E165" s="39">
        <v>2</v>
      </c>
      <c r="F165" s="39"/>
      <c r="G165" s="40" t="s">
        <v>160</v>
      </c>
      <c r="H165" s="41"/>
      <c r="I165" s="35" t="str">
        <f t="shared" si="2"/>
        <v>Professional and communication techniques- (Tume)</v>
      </c>
    </row>
    <row r="166" spans="1:9" s="35" customFormat="1" ht="27" x14ac:dyDescent="0.25">
      <c r="A166" s="29">
        <v>165</v>
      </c>
      <c r="B166" s="30" t="s">
        <v>159</v>
      </c>
      <c r="C166" s="31" t="s">
        <v>94</v>
      </c>
      <c r="D166" s="32">
        <v>2</v>
      </c>
      <c r="E166" s="32">
        <v>3</v>
      </c>
      <c r="F166" s="32"/>
      <c r="G166" s="33" t="s">
        <v>160</v>
      </c>
      <c r="H166" s="34"/>
      <c r="I166" s="35" t="str">
        <f t="shared" si="2"/>
        <v>International Financial Accounting- (Tume)</v>
      </c>
    </row>
    <row r="167" spans="1:9" s="35" customFormat="1" ht="27" x14ac:dyDescent="0.25">
      <c r="A167" s="36">
        <v>166</v>
      </c>
      <c r="B167" s="37" t="s">
        <v>161</v>
      </c>
      <c r="C167" s="38" t="s">
        <v>94</v>
      </c>
      <c r="D167" s="39">
        <v>2</v>
      </c>
      <c r="E167" s="39">
        <v>2</v>
      </c>
      <c r="F167" s="39"/>
      <c r="G167" s="40" t="s">
        <v>160</v>
      </c>
      <c r="H167" s="41"/>
      <c r="I167" s="35" t="str">
        <f t="shared" si="2"/>
        <v>Professional and communication techniques- (Tume)</v>
      </c>
    </row>
    <row r="168" spans="1:9" s="35" customFormat="1" ht="27" x14ac:dyDescent="0.25">
      <c r="A168" s="29">
        <v>167</v>
      </c>
      <c r="B168" s="30" t="s">
        <v>97</v>
      </c>
      <c r="C168" s="31" t="s">
        <v>50</v>
      </c>
      <c r="D168" s="32">
        <v>1</v>
      </c>
      <c r="E168" s="32">
        <v>2</v>
      </c>
      <c r="F168" s="32"/>
      <c r="G168" s="33" t="s">
        <v>160</v>
      </c>
      <c r="H168" s="34"/>
      <c r="I168" s="35" t="str">
        <f t="shared" si="2"/>
        <v>Office and administrative management- (Tume)</v>
      </c>
    </row>
    <row r="169" spans="1:9" s="35" customFormat="1" ht="27" x14ac:dyDescent="0.25">
      <c r="A169" s="36">
        <v>168</v>
      </c>
      <c r="B169" s="37" t="s">
        <v>161</v>
      </c>
      <c r="C169" s="38" t="s">
        <v>162</v>
      </c>
      <c r="D169" s="39">
        <v>2</v>
      </c>
      <c r="E169" s="39">
        <v>3</v>
      </c>
      <c r="F169" s="39"/>
      <c r="G169" s="40" t="s">
        <v>160</v>
      </c>
      <c r="H169" s="41"/>
      <c r="I169" s="35" t="str">
        <f t="shared" si="2"/>
        <v>Professional and communication techniques- (Tume)</v>
      </c>
    </row>
    <row r="170" spans="1:9" s="35" customFormat="1" ht="27" x14ac:dyDescent="0.25">
      <c r="A170" s="29">
        <v>169</v>
      </c>
      <c r="B170" s="30" t="s">
        <v>163</v>
      </c>
      <c r="C170" s="31" t="s">
        <v>164</v>
      </c>
      <c r="D170" s="32">
        <v>2</v>
      </c>
      <c r="E170" s="32">
        <v>3</v>
      </c>
      <c r="F170" s="32"/>
      <c r="G170" s="33" t="s">
        <v>160</v>
      </c>
      <c r="H170" s="34"/>
      <c r="I170" s="35" t="str">
        <f t="shared" si="2"/>
        <v>Information processing- (Tume)</v>
      </c>
    </row>
    <row r="171" spans="1:9" s="35" customFormat="1" ht="27" x14ac:dyDescent="0.25">
      <c r="A171" s="36">
        <v>170</v>
      </c>
      <c r="B171" s="37" t="s">
        <v>97</v>
      </c>
      <c r="C171" s="38" t="s">
        <v>164</v>
      </c>
      <c r="D171" s="39">
        <v>2</v>
      </c>
      <c r="E171" s="39">
        <v>3</v>
      </c>
      <c r="F171" s="39"/>
      <c r="G171" s="40" t="s">
        <v>160</v>
      </c>
      <c r="H171" s="41"/>
      <c r="I171" s="35" t="str">
        <f t="shared" si="2"/>
        <v>Office and administrative management- (Tume)</v>
      </c>
    </row>
    <row r="172" spans="1:9" s="35" customFormat="1" ht="27" x14ac:dyDescent="0.25">
      <c r="A172" s="29">
        <v>171</v>
      </c>
      <c r="B172" s="30" t="s">
        <v>159</v>
      </c>
      <c r="C172" s="31" t="s">
        <v>165</v>
      </c>
      <c r="D172" s="32">
        <v>2</v>
      </c>
      <c r="E172" s="32">
        <v>3</v>
      </c>
      <c r="F172" s="32"/>
      <c r="G172" s="33" t="s">
        <v>160</v>
      </c>
      <c r="H172" s="34"/>
      <c r="I172" s="35" t="str">
        <f t="shared" si="2"/>
        <v>International Financial Accounting- (Tume)</v>
      </c>
    </row>
    <row r="173" spans="1:9" s="35" customFormat="1" ht="27" x14ac:dyDescent="0.25">
      <c r="A173" s="36">
        <v>172</v>
      </c>
      <c r="B173" s="37" t="s">
        <v>86</v>
      </c>
      <c r="C173" s="38" t="s">
        <v>166</v>
      </c>
      <c r="D173" s="39">
        <v>2</v>
      </c>
      <c r="E173" s="39">
        <v>2</v>
      </c>
      <c r="F173" s="39"/>
      <c r="G173" s="40" t="s">
        <v>160</v>
      </c>
      <c r="H173" s="41"/>
      <c r="I173" s="35" t="str">
        <f t="shared" si="2"/>
        <v>Accounting- (Tume)</v>
      </c>
    </row>
    <row r="174" spans="1:9" s="35" customFormat="1" ht="39" x14ac:dyDescent="0.25">
      <c r="A174" s="29">
        <v>173</v>
      </c>
      <c r="B174" s="30" t="s">
        <v>167</v>
      </c>
      <c r="C174" s="31" t="s">
        <v>93</v>
      </c>
      <c r="D174" s="32">
        <v>2</v>
      </c>
      <c r="E174" s="32">
        <v>2</v>
      </c>
      <c r="F174" s="32"/>
      <c r="G174" s="33" t="s">
        <v>168</v>
      </c>
      <c r="H174" s="34"/>
      <c r="I174" s="35" t="str">
        <f t="shared" si="2"/>
        <v>Business math (elective)- (Useni)</v>
      </c>
    </row>
    <row r="175" spans="1:9" s="35" customFormat="1" ht="27" x14ac:dyDescent="0.25">
      <c r="A175" s="36">
        <v>174</v>
      </c>
      <c r="B175" s="37" t="s">
        <v>169</v>
      </c>
      <c r="C175" s="38" t="s">
        <v>162</v>
      </c>
      <c r="D175" s="39">
        <v>2</v>
      </c>
      <c r="E175" s="39">
        <v>3</v>
      </c>
      <c r="F175" s="39"/>
      <c r="G175" s="40" t="s">
        <v>168</v>
      </c>
      <c r="H175" s="41"/>
      <c r="I175" s="35" t="str">
        <f t="shared" si="2"/>
        <v>Ohada financial Accounting- (Useni)</v>
      </c>
    </row>
    <row r="176" spans="1:9" s="35" customFormat="1" ht="58.5" x14ac:dyDescent="0.25">
      <c r="A176" s="29">
        <v>175</v>
      </c>
      <c r="B176" s="57" t="s">
        <v>170</v>
      </c>
      <c r="C176" s="31" t="s">
        <v>171</v>
      </c>
      <c r="D176" s="32">
        <v>2</v>
      </c>
      <c r="E176" s="32">
        <v>2</v>
      </c>
      <c r="F176" s="32"/>
      <c r="G176" s="33" t="s">
        <v>168</v>
      </c>
      <c r="H176" s="34"/>
      <c r="I176" s="35" t="str">
        <f t="shared" si="2"/>
        <v>Citizenship (Civics and moral education)- (Useni)</v>
      </c>
    </row>
    <row r="177" spans="1:9" s="35" customFormat="1" ht="58.5" x14ac:dyDescent="0.25">
      <c r="A177" s="36">
        <v>176</v>
      </c>
      <c r="B177" s="58" t="s">
        <v>170</v>
      </c>
      <c r="C177" s="38" t="s">
        <v>172</v>
      </c>
      <c r="D177" s="39">
        <v>2</v>
      </c>
      <c r="E177" s="39">
        <v>2</v>
      </c>
      <c r="F177" s="39"/>
      <c r="G177" s="40" t="s">
        <v>168</v>
      </c>
      <c r="H177" s="41"/>
      <c r="I177" s="35" t="str">
        <f t="shared" si="2"/>
        <v>Citizenship (Civics and moral education)- (Useni)</v>
      </c>
    </row>
    <row r="178" spans="1:9" s="35" customFormat="1" ht="39" x14ac:dyDescent="0.25">
      <c r="A178" s="29">
        <v>177</v>
      </c>
      <c r="B178" s="57" t="s">
        <v>173</v>
      </c>
      <c r="C178" s="31" t="s">
        <v>142</v>
      </c>
      <c r="D178" s="32">
        <v>2</v>
      </c>
      <c r="E178" s="32">
        <v>1</v>
      </c>
      <c r="F178" s="32"/>
      <c r="G178" s="33" t="s">
        <v>168</v>
      </c>
      <c r="H178" s="34"/>
      <c r="I178" s="35" t="str">
        <f t="shared" si="2"/>
        <v>CITIZENSHIP (Civics and moral education)- (Useni)</v>
      </c>
    </row>
    <row r="179" spans="1:9" s="35" customFormat="1" ht="39" x14ac:dyDescent="0.25">
      <c r="A179" s="36">
        <v>178</v>
      </c>
      <c r="B179" s="58" t="s">
        <v>173</v>
      </c>
      <c r="C179" s="38" t="s">
        <v>174</v>
      </c>
      <c r="D179" s="39">
        <v>2</v>
      </c>
      <c r="E179" s="39">
        <v>1</v>
      </c>
      <c r="F179" s="39"/>
      <c r="G179" s="40" t="s">
        <v>168</v>
      </c>
      <c r="H179" s="41"/>
      <c r="I179" s="35" t="str">
        <f t="shared" si="2"/>
        <v>CITIZENSHIP (Civics and moral education)- (Useni)</v>
      </c>
    </row>
    <row r="180" spans="1:9" s="35" customFormat="1" ht="27" x14ac:dyDescent="0.25">
      <c r="A180" s="29">
        <v>179</v>
      </c>
      <c r="B180" s="57" t="s">
        <v>173</v>
      </c>
      <c r="C180" s="31" t="s">
        <v>127</v>
      </c>
      <c r="D180" s="32">
        <v>2</v>
      </c>
      <c r="E180" s="32">
        <v>2</v>
      </c>
      <c r="F180" s="32"/>
      <c r="G180" s="33" t="s">
        <v>168</v>
      </c>
      <c r="H180" s="34"/>
      <c r="I180" s="35" t="str">
        <f t="shared" si="2"/>
        <v>CITIZENSHIP (Civics and moral education)- (Useni)</v>
      </c>
    </row>
    <row r="181" spans="1:9" s="35" customFormat="1" ht="39" x14ac:dyDescent="0.25">
      <c r="A181" s="36">
        <v>180</v>
      </c>
      <c r="B181" s="37" t="s">
        <v>175</v>
      </c>
      <c r="C181" s="38" t="s">
        <v>176</v>
      </c>
      <c r="D181" s="39">
        <v>1</v>
      </c>
      <c r="E181" s="39">
        <v>1</v>
      </c>
      <c r="F181" s="39"/>
      <c r="G181" s="40" t="s">
        <v>168</v>
      </c>
      <c r="H181" s="41"/>
      <c r="I181" s="35" t="str">
        <f t="shared" si="2"/>
        <v>Geography- (Useni)</v>
      </c>
    </row>
    <row r="182" spans="1:9" s="35" customFormat="1" ht="39" x14ac:dyDescent="0.25">
      <c r="A182" s="29">
        <v>181</v>
      </c>
      <c r="B182" s="30" t="s">
        <v>175</v>
      </c>
      <c r="C182" s="31" t="s">
        <v>177</v>
      </c>
      <c r="D182" s="32">
        <v>1</v>
      </c>
      <c r="E182" s="32">
        <v>1</v>
      </c>
      <c r="F182" s="32"/>
      <c r="G182" s="33" t="s">
        <v>168</v>
      </c>
      <c r="H182" s="34"/>
      <c r="I182" s="35" t="str">
        <f t="shared" si="2"/>
        <v>Geography- (Useni)</v>
      </c>
    </row>
    <row r="183" spans="1:9" s="35" customFormat="1" ht="27" x14ac:dyDescent="0.25">
      <c r="A183" s="36">
        <v>182</v>
      </c>
      <c r="B183" s="37" t="s">
        <v>178</v>
      </c>
      <c r="C183" s="38" t="s">
        <v>179</v>
      </c>
      <c r="D183" s="39">
        <v>2</v>
      </c>
      <c r="E183" s="39">
        <v>2</v>
      </c>
      <c r="F183" s="39"/>
      <c r="G183" s="40" t="s">
        <v>180</v>
      </c>
      <c r="H183" s="41"/>
      <c r="I183" s="35" t="str">
        <f t="shared" si="2"/>
        <v>Computer aided accounting- (Viban)</v>
      </c>
    </row>
    <row r="184" spans="1:9" s="35" customFormat="1" ht="27" x14ac:dyDescent="0.25">
      <c r="A184" s="29">
        <v>183</v>
      </c>
      <c r="B184" s="30" t="s">
        <v>178</v>
      </c>
      <c r="C184" s="31" t="s">
        <v>181</v>
      </c>
      <c r="D184" s="32">
        <v>2</v>
      </c>
      <c r="E184" s="32">
        <v>2</v>
      </c>
      <c r="F184" s="32"/>
      <c r="G184" s="33" t="s">
        <v>180</v>
      </c>
      <c r="H184" s="34"/>
      <c r="I184" s="35" t="str">
        <f t="shared" si="2"/>
        <v>Computer aided accounting- (Viban)</v>
      </c>
    </row>
    <row r="185" spans="1:9" s="35" customFormat="1" ht="27" x14ac:dyDescent="0.25">
      <c r="A185" s="36">
        <v>184</v>
      </c>
      <c r="B185" s="37" t="s">
        <v>182</v>
      </c>
      <c r="C185" s="38" t="s">
        <v>103</v>
      </c>
      <c r="D185" s="39">
        <v>3</v>
      </c>
      <c r="E185" s="39">
        <v>3</v>
      </c>
      <c r="F185" s="39"/>
      <c r="G185" s="40" t="s">
        <v>180</v>
      </c>
      <c r="H185" s="41"/>
      <c r="I185" s="35" t="str">
        <f t="shared" si="2"/>
        <v>Ohada financial accounting- (Viban)</v>
      </c>
    </row>
    <row r="186" spans="1:9" s="35" customFormat="1" ht="27" x14ac:dyDescent="0.25">
      <c r="A186" s="29">
        <v>185</v>
      </c>
      <c r="B186" s="30" t="s">
        <v>178</v>
      </c>
      <c r="C186" s="31" t="s">
        <v>94</v>
      </c>
      <c r="D186" s="32">
        <v>2</v>
      </c>
      <c r="E186" s="32">
        <v>2</v>
      </c>
      <c r="F186" s="32"/>
      <c r="G186" s="33" t="s">
        <v>180</v>
      </c>
      <c r="H186" s="34"/>
      <c r="I186" s="35" t="str">
        <f t="shared" si="2"/>
        <v>Computer aided accounting- (Viban)</v>
      </c>
    </row>
    <row r="187" spans="1:9" s="35" customFormat="1" ht="27" x14ac:dyDescent="0.25">
      <c r="A187" s="36">
        <v>186</v>
      </c>
      <c r="B187" s="37" t="s">
        <v>182</v>
      </c>
      <c r="C187" s="38" t="s">
        <v>94</v>
      </c>
      <c r="D187" s="39">
        <v>3</v>
      </c>
      <c r="E187" s="39">
        <v>3</v>
      </c>
      <c r="F187" s="39"/>
      <c r="G187" s="40" t="s">
        <v>180</v>
      </c>
      <c r="H187" s="41"/>
      <c r="I187" s="35" t="str">
        <f t="shared" si="2"/>
        <v>Ohada financial accounting- (Viban)</v>
      </c>
    </row>
    <row r="188" spans="1:9" s="35" customFormat="1" ht="54" x14ac:dyDescent="0.25">
      <c r="A188" s="29">
        <v>187</v>
      </c>
      <c r="B188" s="30" t="s">
        <v>102</v>
      </c>
      <c r="C188" s="31" t="s">
        <v>94</v>
      </c>
      <c r="D188" s="32">
        <v>2</v>
      </c>
      <c r="E188" s="32">
        <v>3</v>
      </c>
      <c r="F188" s="32"/>
      <c r="G188" s="33" t="s">
        <v>180</v>
      </c>
      <c r="H188" s="34"/>
      <c r="I188" s="35" t="str">
        <f t="shared" si="2"/>
        <v>Ohada financial Reporting end of year accounting- (Viban)</v>
      </c>
    </row>
    <row r="189" spans="1:9" s="35" customFormat="1" ht="27" x14ac:dyDescent="0.25">
      <c r="A189" s="36">
        <v>188</v>
      </c>
      <c r="B189" s="37" t="s">
        <v>183</v>
      </c>
      <c r="C189" s="38" t="s">
        <v>32</v>
      </c>
      <c r="D189" s="39">
        <v>4</v>
      </c>
      <c r="E189" s="39">
        <v>4</v>
      </c>
      <c r="F189" s="39"/>
      <c r="G189" s="40" t="s">
        <v>184</v>
      </c>
      <c r="H189" s="41"/>
      <c r="I189" s="35" t="str">
        <f t="shared" si="2"/>
        <v>Mathematics- (Yakana)</v>
      </c>
    </row>
    <row r="190" spans="1:9" s="35" customFormat="1" ht="27" x14ac:dyDescent="0.25">
      <c r="A190" s="29">
        <v>189</v>
      </c>
      <c r="B190" s="30" t="s">
        <v>183</v>
      </c>
      <c r="C190" s="31" t="s">
        <v>34</v>
      </c>
      <c r="D190" s="32">
        <v>4</v>
      </c>
      <c r="E190" s="32">
        <v>4</v>
      </c>
      <c r="F190" s="32"/>
      <c r="G190" s="33" t="s">
        <v>184</v>
      </c>
      <c r="H190" s="34"/>
      <c r="I190" s="35" t="str">
        <f t="shared" si="2"/>
        <v>Mathematics- (Yakana)</v>
      </c>
    </row>
    <row r="191" spans="1:9" s="35" customFormat="1" ht="27" x14ac:dyDescent="0.25">
      <c r="A191" s="36">
        <v>190</v>
      </c>
      <c r="B191" s="37" t="s">
        <v>183</v>
      </c>
      <c r="C191" s="38" t="s">
        <v>35</v>
      </c>
      <c r="D191" s="39">
        <v>4</v>
      </c>
      <c r="E191" s="39">
        <v>4</v>
      </c>
      <c r="F191" s="39"/>
      <c r="G191" s="40" t="s">
        <v>184</v>
      </c>
      <c r="H191" s="41"/>
      <c r="I191" s="35" t="str">
        <f t="shared" si="2"/>
        <v>Mathematics- (Yakana)</v>
      </c>
    </row>
    <row r="192" spans="1:9" s="35" customFormat="1" ht="27" x14ac:dyDescent="0.25">
      <c r="A192" s="29">
        <v>191</v>
      </c>
      <c r="B192" s="30" t="s">
        <v>183</v>
      </c>
      <c r="C192" s="31" t="s">
        <v>36</v>
      </c>
      <c r="D192" s="32">
        <v>4</v>
      </c>
      <c r="E192" s="32">
        <v>4</v>
      </c>
      <c r="F192" s="32"/>
      <c r="G192" s="33" t="s">
        <v>184</v>
      </c>
      <c r="H192" s="34"/>
      <c r="I192" s="35" t="str">
        <f t="shared" si="2"/>
        <v>Mathematics- (Yakana)</v>
      </c>
    </row>
    <row r="193" spans="1:9" s="35" customFormat="1" ht="27" x14ac:dyDescent="0.25">
      <c r="A193" s="36">
        <v>192</v>
      </c>
      <c r="B193" s="37" t="s">
        <v>183</v>
      </c>
      <c r="C193" s="38" t="s">
        <v>37</v>
      </c>
      <c r="D193" s="39">
        <v>4</v>
      </c>
      <c r="E193" s="39">
        <v>4</v>
      </c>
      <c r="F193" s="39"/>
      <c r="G193" s="40" t="s">
        <v>184</v>
      </c>
      <c r="H193" s="41"/>
      <c r="I193" s="35" t="str">
        <f t="shared" ref="I193:I202" si="3">""&amp;B193&amp;"- ("&amp;G193&amp;")"</f>
        <v>Mathematics- (Yakana)</v>
      </c>
    </row>
    <row r="194" spans="1:9" s="35" customFormat="1" ht="27" x14ac:dyDescent="0.25">
      <c r="A194" s="29">
        <v>193</v>
      </c>
      <c r="B194" s="37" t="s">
        <v>149</v>
      </c>
      <c r="C194" s="38" t="s">
        <v>27</v>
      </c>
      <c r="D194" s="39">
        <v>2</v>
      </c>
      <c r="E194" s="39">
        <v>2</v>
      </c>
      <c r="F194" s="39"/>
      <c r="G194" s="40"/>
      <c r="H194" s="42"/>
      <c r="I194" s="35" t="str">
        <f t="shared" si="3"/>
        <v>Natural science- ()</v>
      </c>
    </row>
    <row r="195" spans="1:9" s="35" customFormat="1" ht="27" x14ac:dyDescent="0.25">
      <c r="A195" s="36">
        <v>194</v>
      </c>
      <c r="B195" s="30" t="s">
        <v>149</v>
      </c>
      <c r="C195" s="31" t="s">
        <v>24</v>
      </c>
      <c r="D195" s="32">
        <v>2</v>
      </c>
      <c r="E195" s="32">
        <v>2</v>
      </c>
      <c r="F195" s="32"/>
      <c r="G195" s="33"/>
      <c r="H195" s="43"/>
      <c r="I195" s="35" t="str">
        <f t="shared" si="3"/>
        <v>Natural science- ()</v>
      </c>
    </row>
    <row r="196" spans="1:9" s="35" customFormat="1" ht="27" x14ac:dyDescent="0.25">
      <c r="A196" s="29">
        <v>195</v>
      </c>
      <c r="B196" s="30" t="s">
        <v>185</v>
      </c>
      <c r="C196" s="31" t="s">
        <v>186</v>
      </c>
      <c r="D196" s="32">
        <v>1</v>
      </c>
      <c r="E196" s="32">
        <v>2</v>
      </c>
      <c r="F196" s="32"/>
      <c r="G196" s="33"/>
      <c r="H196" s="34"/>
      <c r="I196" s="35" t="str">
        <f t="shared" si="3"/>
        <v>Law and gouvernment- ()</v>
      </c>
    </row>
    <row r="197" spans="1:9" s="35" customFormat="1" ht="27" x14ac:dyDescent="0.25">
      <c r="A197" s="36">
        <v>196</v>
      </c>
      <c r="B197" s="37" t="s">
        <v>187</v>
      </c>
      <c r="C197" s="38" t="s">
        <v>29</v>
      </c>
      <c r="D197" s="39">
        <v>1</v>
      </c>
      <c r="E197" s="39">
        <v>2</v>
      </c>
      <c r="F197" s="39"/>
      <c r="G197" s="40"/>
      <c r="H197" s="41"/>
      <c r="I197" s="35" t="str">
        <f t="shared" si="3"/>
        <v>Law and government- ()</v>
      </c>
    </row>
    <row r="198" spans="1:9" s="35" customFormat="1" ht="39" x14ac:dyDescent="0.25">
      <c r="A198" s="29">
        <v>197</v>
      </c>
      <c r="B198" s="30" t="s">
        <v>188</v>
      </c>
      <c r="C198" s="31" t="s">
        <v>189</v>
      </c>
      <c r="D198" s="32">
        <v>1</v>
      </c>
      <c r="E198" s="32">
        <v>1</v>
      </c>
      <c r="F198" s="32"/>
      <c r="G198" s="33"/>
      <c r="H198" s="34"/>
      <c r="I198" s="35" t="str">
        <f t="shared" si="3"/>
        <v>Legislation- ()</v>
      </c>
    </row>
    <row r="199" spans="1:9" s="35" customFormat="1" ht="39" x14ac:dyDescent="0.25">
      <c r="A199" s="36">
        <v>198</v>
      </c>
      <c r="B199" s="37" t="s">
        <v>188</v>
      </c>
      <c r="C199" s="38" t="s">
        <v>190</v>
      </c>
      <c r="D199" s="39">
        <v>1</v>
      </c>
      <c r="E199" s="39">
        <v>1</v>
      </c>
      <c r="F199" s="39"/>
      <c r="G199" s="40"/>
      <c r="H199" s="41"/>
      <c r="I199" s="35" t="str">
        <f t="shared" si="3"/>
        <v>Legislation- ()</v>
      </c>
    </row>
    <row r="200" spans="1:9" s="35" customFormat="1" ht="27" x14ac:dyDescent="0.25">
      <c r="A200" s="29">
        <v>199</v>
      </c>
      <c r="B200" s="30" t="s">
        <v>38</v>
      </c>
      <c r="C200" s="31" t="s">
        <v>67</v>
      </c>
      <c r="D200" s="32">
        <v>2</v>
      </c>
      <c r="E200" s="32">
        <v>4</v>
      </c>
      <c r="F200" s="32"/>
      <c r="G200" s="33"/>
      <c r="H200" s="34"/>
      <c r="I200" s="35" t="str">
        <f t="shared" si="3"/>
        <v>Technical drawing- ()</v>
      </c>
    </row>
    <row r="201" spans="1:9" s="35" customFormat="1" ht="27" x14ac:dyDescent="0.25">
      <c r="A201" s="36">
        <v>200</v>
      </c>
      <c r="B201" s="37" t="s">
        <v>38</v>
      </c>
      <c r="C201" s="38" t="s">
        <v>133</v>
      </c>
      <c r="D201" s="39">
        <v>3</v>
      </c>
      <c r="E201" s="39">
        <v>4</v>
      </c>
      <c r="F201" s="39"/>
      <c r="G201" s="40"/>
      <c r="H201" s="41"/>
      <c r="I201" s="35" t="str">
        <f t="shared" si="3"/>
        <v>Technical drawing- ()</v>
      </c>
    </row>
    <row r="202" spans="1:9" s="35" customFormat="1" ht="27" x14ac:dyDescent="0.25">
      <c r="A202" s="29">
        <v>201</v>
      </c>
      <c r="B202" s="30" t="s">
        <v>38</v>
      </c>
      <c r="C202" s="31" t="s">
        <v>191</v>
      </c>
      <c r="D202" s="32">
        <v>3</v>
      </c>
      <c r="E202" s="32">
        <v>4</v>
      </c>
      <c r="F202" s="32"/>
      <c r="G202" s="33"/>
      <c r="H202" s="34"/>
      <c r="I202" s="35" t="str">
        <f t="shared" si="3"/>
        <v>Technical drawing- ()</v>
      </c>
    </row>
    <row r="203" spans="1:9" s="35" customFormat="1" ht="27" x14ac:dyDescent="0.25">
      <c r="A203" s="44">
        <v>202</v>
      </c>
      <c r="B203" s="37" t="s">
        <v>38</v>
      </c>
      <c r="C203" s="38" t="s">
        <v>45</v>
      </c>
      <c r="D203" s="39">
        <v>3</v>
      </c>
      <c r="E203" s="39">
        <v>4</v>
      </c>
      <c r="F203" s="39"/>
      <c r="G203" s="40"/>
      <c r="H203" s="41"/>
    </row>
    <row r="204" spans="1:9" s="35" customFormat="1" ht="27" x14ac:dyDescent="0.25">
      <c r="A204" s="29"/>
      <c r="B204" s="30"/>
      <c r="C204" s="31"/>
      <c r="D204" s="32"/>
      <c r="E204" s="32"/>
      <c r="F204" s="32"/>
      <c r="G204" s="33"/>
      <c r="H204" s="34"/>
    </row>
    <row r="205" spans="1:9" s="35" customFormat="1" ht="27" x14ac:dyDescent="0.25">
      <c r="A205" s="44"/>
      <c r="B205" s="37"/>
      <c r="C205" s="38"/>
      <c r="D205" s="39"/>
      <c r="E205" s="39"/>
      <c r="F205" s="39"/>
      <c r="G205" s="40"/>
      <c r="H205" s="41"/>
    </row>
    <row r="206" spans="1:9" s="35" customFormat="1" ht="27" x14ac:dyDescent="0.25">
      <c r="A206" s="29"/>
      <c r="B206" s="30"/>
      <c r="C206" s="31"/>
      <c r="D206" s="32"/>
      <c r="E206" s="32"/>
      <c r="F206" s="32"/>
      <c r="G206" s="33"/>
      <c r="H206" s="34"/>
    </row>
    <row r="207" spans="1:9" s="35" customFormat="1" ht="27" x14ac:dyDescent="0.25">
      <c r="A207" s="44"/>
      <c r="B207" s="37"/>
      <c r="C207" s="38"/>
      <c r="D207" s="39"/>
      <c r="E207" s="39"/>
      <c r="F207" s="39"/>
      <c r="G207" s="40"/>
      <c r="H207" s="41"/>
    </row>
    <row r="208" spans="1:9" s="35" customFormat="1" ht="27" x14ac:dyDescent="0.25">
      <c r="A208" s="29"/>
      <c r="B208" s="30"/>
      <c r="C208" s="31"/>
      <c r="D208" s="32"/>
      <c r="E208" s="32"/>
      <c r="F208" s="32"/>
      <c r="G208" s="33"/>
      <c r="H208" s="34"/>
    </row>
    <row r="209" spans="1:8" s="35" customFormat="1" ht="27" x14ac:dyDescent="0.25">
      <c r="A209" s="44"/>
      <c r="B209" s="37"/>
      <c r="C209" s="38"/>
      <c r="D209" s="39"/>
      <c r="E209" s="39"/>
      <c r="F209" s="39"/>
      <c r="G209" s="40"/>
      <c r="H209" s="41"/>
    </row>
    <row r="210" spans="1:8" s="35" customFormat="1" ht="27" x14ac:dyDescent="0.25">
      <c r="A210" s="29"/>
      <c r="B210" s="30"/>
      <c r="C210" s="31"/>
      <c r="D210" s="32"/>
      <c r="E210" s="32"/>
      <c r="F210" s="32"/>
      <c r="G210" s="33"/>
      <c r="H210" s="34"/>
    </row>
    <row r="211" spans="1:8" s="35" customFormat="1" ht="27" x14ac:dyDescent="0.25">
      <c r="A211" s="44"/>
      <c r="B211" s="37"/>
      <c r="C211" s="38"/>
      <c r="D211" s="39"/>
      <c r="E211" s="39"/>
      <c r="F211" s="39"/>
      <c r="G211" s="40"/>
      <c r="H211" s="41"/>
    </row>
    <row r="212" spans="1:8" s="35" customFormat="1" ht="27" x14ac:dyDescent="0.25">
      <c r="A212" s="29"/>
      <c r="B212" s="30"/>
      <c r="C212" s="31"/>
      <c r="D212" s="32"/>
      <c r="E212" s="32"/>
      <c r="F212" s="32"/>
      <c r="G212" s="33"/>
      <c r="H212" s="34"/>
    </row>
    <row r="213" spans="1:8" s="35" customFormat="1" ht="27" x14ac:dyDescent="0.25">
      <c r="A213" s="44"/>
      <c r="B213" s="37"/>
      <c r="C213" s="38"/>
      <c r="D213" s="39"/>
      <c r="E213" s="39"/>
      <c r="F213" s="39"/>
      <c r="G213" s="40"/>
      <c r="H213" s="41"/>
    </row>
    <row r="214" spans="1:8" s="35" customFormat="1" ht="27" x14ac:dyDescent="0.25">
      <c r="A214" s="29"/>
      <c r="B214" s="30"/>
      <c r="C214" s="31"/>
      <c r="D214" s="32"/>
      <c r="E214" s="32"/>
      <c r="F214" s="32"/>
      <c r="G214" s="33"/>
      <c r="H214" s="34"/>
    </row>
    <row r="215" spans="1:8" s="35" customFormat="1" ht="27" x14ac:dyDescent="0.25">
      <c r="A215" s="44"/>
      <c r="B215" s="37"/>
      <c r="C215" s="38"/>
      <c r="D215" s="39"/>
      <c r="E215" s="39"/>
      <c r="F215" s="39"/>
      <c r="G215" s="40"/>
      <c r="H215" s="41"/>
    </row>
    <row r="216" spans="1:8" s="35" customFormat="1" ht="27" x14ac:dyDescent="0.25">
      <c r="A216" s="29"/>
      <c r="B216" s="30"/>
      <c r="C216" s="31"/>
      <c r="D216" s="32"/>
      <c r="E216" s="32"/>
      <c r="F216" s="32"/>
      <c r="G216" s="33"/>
      <c r="H216" s="34"/>
    </row>
    <row r="217" spans="1:8" s="35" customFormat="1" ht="27" x14ac:dyDescent="0.25">
      <c r="A217" s="44"/>
      <c r="B217" s="37"/>
      <c r="C217" s="38"/>
      <c r="D217" s="39"/>
      <c r="E217" s="39"/>
      <c r="F217" s="39"/>
      <c r="G217" s="40"/>
      <c r="H217" s="41"/>
    </row>
    <row r="218" spans="1:8" s="35" customFormat="1" ht="27" x14ac:dyDescent="0.25">
      <c r="A218" s="29"/>
      <c r="B218" s="30"/>
      <c r="C218" s="31"/>
      <c r="D218" s="32"/>
      <c r="E218" s="32"/>
      <c r="F218" s="32"/>
      <c r="G218" s="33"/>
      <c r="H218" s="34"/>
    </row>
    <row r="219" spans="1:8" s="35" customFormat="1" ht="27" x14ac:dyDescent="0.25">
      <c r="A219" s="44"/>
      <c r="B219" s="37"/>
      <c r="C219" s="38"/>
      <c r="D219" s="39"/>
      <c r="E219" s="39"/>
      <c r="F219" s="39"/>
      <c r="G219" s="40"/>
      <c r="H219" s="41"/>
    </row>
    <row r="220" spans="1:8" s="35" customFormat="1" ht="27" x14ac:dyDescent="0.25">
      <c r="A220" s="29"/>
      <c r="B220" s="30"/>
      <c r="C220" s="31"/>
      <c r="D220" s="32"/>
      <c r="E220" s="32"/>
      <c r="F220" s="32"/>
      <c r="G220" s="33"/>
      <c r="H220" s="34"/>
    </row>
    <row r="221" spans="1:8" s="35" customFormat="1" ht="27" x14ac:dyDescent="0.25">
      <c r="A221" s="44"/>
      <c r="B221" s="37"/>
      <c r="C221" s="38"/>
      <c r="D221" s="39"/>
      <c r="E221" s="39"/>
      <c r="F221" s="39"/>
      <c r="G221" s="40"/>
      <c r="H221" s="41"/>
    </row>
    <row r="222" spans="1:8" s="35" customFormat="1" ht="27" x14ac:dyDescent="0.25">
      <c r="A222" s="29"/>
      <c r="B222" s="30"/>
      <c r="C222" s="31"/>
      <c r="D222" s="32"/>
      <c r="E222" s="32"/>
      <c r="F222" s="32"/>
      <c r="G222" s="33"/>
      <c r="H222" s="34"/>
    </row>
    <row r="223" spans="1:8" s="35" customFormat="1" ht="27" x14ac:dyDescent="0.25">
      <c r="A223" s="44"/>
      <c r="B223" s="37"/>
      <c r="C223" s="38"/>
      <c r="D223" s="39"/>
      <c r="E223" s="39"/>
      <c r="F223" s="39"/>
      <c r="G223" s="40"/>
      <c r="H223" s="41"/>
    </row>
    <row r="224" spans="1:8" s="35" customFormat="1" ht="27" x14ac:dyDescent="0.25">
      <c r="A224" s="29"/>
      <c r="B224" s="30"/>
      <c r="C224" s="31"/>
      <c r="D224" s="32"/>
      <c r="E224" s="32"/>
      <c r="F224" s="32"/>
      <c r="G224" s="33"/>
      <c r="H224" s="34"/>
    </row>
    <row r="225" spans="1:8" s="35" customFormat="1" ht="27" x14ac:dyDescent="0.25">
      <c r="A225" s="44"/>
      <c r="B225" s="37"/>
      <c r="C225" s="38"/>
      <c r="D225" s="39"/>
      <c r="E225" s="39"/>
      <c r="F225" s="39"/>
      <c r="G225" s="40"/>
      <c r="H225" s="41"/>
    </row>
    <row r="226" spans="1:8" s="35" customFormat="1" ht="27" x14ac:dyDescent="0.25">
      <c r="A226" s="29"/>
      <c r="B226" s="30"/>
      <c r="C226" s="31"/>
      <c r="D226" s="32"/>
      <c r="E226" s="32"/>
      <c r="F226" s="32"/>
      <c r="G226" s="33"/>
      <c r="H226" s="34"/>
    </row>
    <row r="227" spans="1:8" s="35" customFormat="1" ht="27" x14ac:dyDescent="0.25">
      <c r="A227" s="44"/>
      <c r="B227" s="37"/>
      <c r="C227" s="38"/>
      <c r="D227" s="39"/>
      <c r="E227" s="39"/>
      <c r="F227" s="39"/>
      <c r="G227" s="40"/>
      <c r="H227" s="41"/>
    </row>
    <row r="228" spans="1:8" s="35" customFormat="1" ht="27" x14ac:dyDescent="0.25">
      <c r="A228" s="29"/>
      <c r="B228" s="30"/>
      <c r="C228" s="31"/>
      <c r="D228" s="32"/>
      <c r="E228" s="32"/>
      <c r="F228" s="32"/>
      <c r="G228" s="33"/>
      <c r="H228" s="34"/>
    </row>
    <row r="229" spans="1:8" s="35" customFormat="1" ht="27" x14ac:dyDescent="0.25">
      <c r="A229" s="44"/>
      <c r="B229" s="37"/>
      <c r="C229" s="38"/>
      <c r="D229" s="39"/>
      <c r="E229" s="39"/>
      <c r="F229" s="39"/>
      <c r="G229" s="40"/>
      <c r="H229" s="41"/>
    </row>
    <row r="230" spans="1:8" s="35" customFormat="1" ht="27" x14ac:dyDescent="0.25">
      <c r="A230" s="29"/>
      <c r="B230" s="30"/>
      <c r="C230" s="31"/>
      <c r="D230" s="32"/>
      <c r="E230" s="32"/>
      <c r="F230" s="32"/>
      <c r="G230" s="33"/>
      <c r="H230" s="34"/>
    </row>
  </sheetData>
  <pageMargins left="0.25" right="0.25" top="0.75" bottom="0.75" header="0.3" footer="0.3"/>
  <pageSetup paperSize="9" scale="38" orientation="portrait" horizontalDpi="4294967294" verticalDpi="300" r:id="rId1"/>
  <rowBreaks count="3" manualBreakCount="3">
    <brk id="65" max="7" man="1"/>
    <brk id="126" max="7" man="1"/>
    <brk id="178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Class xx trade</vt:lpstr>
      <vt:lpstr>Subjects per staff</vt:lpstr>
      <vt:lpstr>'Subjects per staff'!Zone_d_impression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AES FOMESSO</dc:creator>
  <cp:lastModifiedBy>AES FOMESSO</cp:lastModifiedBy>
  <cp:lastPrinted>2026-07-21T07:30:56Z</cp:lastPrinted>
  <dcterms:created xsi:type="dcterms:W3CDTF">2026-07-14T21:25:57Z</dcterms:created>
  <dcterms:modified xsi:type="dcterms:W3CDTF">2026-08-11T20:54:56Z</dcterms:modified>
</cp:coreProperties>
</file>