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116" windowHeight="9288"/>
  </bookViews>
  <sheets>
    <sheet name="Feuil1" sheetId="1" r:id="rId1"/>
    <sheet name="Feuil2" sheetId="2" r:id="rId2"/>
    <sheet name="Feuil3" sheetId="3" r:id="rId3"/>
  </sheets>
  <calcPr calcId="145621"/>
</workbook>
</file>

<file path=xl/calcChain.xml><?xml version="1.0" encoding="utf-8"?>
<calcChain xmlns="http://schemas.openxmlformats.org/spreadsheetml/2006/main">
  <c r="CO28" i="1" l="1"/>
  <c r="BX28" i="1"/>
  <c r="BW28" i="1"/>
  <c r="DT28" i="1" s="1"/>
  <c r="EH28" i="1" s="1"/>
  <c r="BV28" i="1"/>
  <c r="DS28" i="1" s="1"/>
  <c r="BU28" i="1"/>
  <c r="CK28" i="1" s="1"/>
  <c r="DB28" i="1" s="1"/>
  <c r="AP28" i="1"/>
  <c r="CD28" i="1" s="1"/>
  <c r="AE28" i="1"/>
  <c r="BL28" i="1" s="1"/>
  <c r="DL28" i="1" s="1"/>
  <c r="CO27" i="1"/>
  <c r="BX27" i="1"/>
  <c r="CN27" i="1" s="1"/>
  <c r="DE27" i="1" s="1"/>
  <c r="BW27" i="1"/>
  <c r="DT27" i="1" s="1"/>
  <c r="EH27" i="1" s="1"/>
  <c r="BV27" i="1"/>
  <c r="CL27" i="1" s="1"/>
  <c r="DC27" i="1" s="1"/>
  <c r="BU27" i="1"/>
  <c r="DR27" i="1" s="1"/>
  <c r="AP27" i="1"/>
  <c r="AE27" i="1"/>
  <c r="BH27" i="1" s="1"/>
  <c r="CV27" i="1" s="1"/>
  <c r="CO26" i="1"/>
  <c r="BX26" i="1"/>
  <c r="CN26" i="1" s="1"/>
  <c r="DE26" i="1" s="1"/>
  <c r="BW26" i="1"/>
  <c r="BV26" i="1"/>
  <c r="DS26" i="1" s="1"/>
  <c r="BU26" i="1"/>
  <c r="CK26" i="1" s="1"/>
  <c r="DB26" i="1" s="1"/>
  <c r="AZ26" i="1"/>
  <c r="CR26" i="1" s="1"/>
  <c r="AP26" i="1"/>
  <c r="CD26" i="1" s="1"/>
  <c r="AE26" i="1"/>
  <c r="BK26" i="1" s="1"/>
  <c r="CO25" i="1"/>
  <c r="BX25" i="1"/>
  <c r="CN25" i="1" s="1"/>
  <c r="DE25" i="1" s="1"/>
  <c r="BW25" i="1"/>
  <c r="BV25" i="1"/>
  <c r="DS25" i="1" s="1"/>
  <c r="BU25" i="1"/>
  <c r="CK25" i="1" s="1"/>
  <c r="DB25" i="1" s="1"/>
  <c r="AP25" i="1"/>
  <c r="CD25" i="1" s="1"/>
  <c r="AE25" i="1"/>
  <c r="BG25" i="1" s="1"/>
  <c r="CU25" i="1" s="1"/>
  <c r="CO24" i="1"/>
  <c r="BX24" i="1"/>
  <c r="DU24" i="1" s="1"/>
  <c r="BW24" i="1"/>
  <c r="DT24" i="1" s="1"/>
  <c r="EH24" i="1" s="1"/>
  <c r="BV24" i="1"/>
  <c r="DS24" i="1" s="1"/>
  <c r="BU24" i="1"/>
  <c r="CK24" i="1" s="1"/>
  <c r="DB24" i="1" s="1"/>
  <c r="AP24" i="1"/>
  <c r="CD24" i="1" s="1"/>
  <c r="AE24" i="1"/>
  <c r="BG24" i="1" s="1"/>
  <c r="CU24" i="1" s="1"/>
  <c r="CO23" i="1"/>
  <c r="BX23" i="1"/>
  <c r="DU23" i="1" s="1"/>
  <c r="BW23" i="1"/>
  <c r="CM23" i="1" s="1"/>
  <c r="DD23" i="1" s="1"/>
  <c r="BV23" i="1"/>
  <c r="BU23" i="1"/>
  <c r="DR23" i="1" s="1"/>
  <c r="AP23" i="1"/>
  <c r="AE23" i="1"/>
  <c r="BK23" i="1" s="1"/>
  <c r="CO22" i="1"/>
  <c r="BX22" i="1"/>
  <c r="DU22" i="1" s="1"/>
  <c r="BW22" i="1"/>
  <c r="CM22" i="1" s="1"/>
  <c r="DD22" i="1" s="1"/>
  <c r="BV22" i="1"/>
  <c r="DS22" i="1" s="1"/>
  <c r="BU22" i="1"/>
  <c r="DR22" i="1" s="1"/>
  <c r="AP22" i="1"/>
  <c r="CD22" i="1" s="1"/>
  <c r="AE22" i="1"/>
  <c r="BI22" i="1" s="1"/>
  <c r="CW22" i="1" s="1"/>
  <c r="CO21" i="1"/>
  <c r="BX21" i="1"/>
  <c r="BW21" i="1"/>
  <c r="BV21" i="1"/>
  <c r="DS21" i="1" s="1"/>
  <c r="BU21" i="1"/>
  <c r="AP21" i="1"/>
  <c r="AE21" i="1"/>
  <c r="BK21" i="1" s="1"/>
  <c r="CO20" i="1"/>
  <c r="BX20" i="1"/>
  <c r="DU20" i="1" s="1"/>
  <c r="BW20" i="1"/>
  <c r="CM20" i="1" s="1"/>
  <c r="DD20" i="1" s="1"/>
  <c r="BV20" i="1"/>
  <c r="CL20" i="1" s="1"/>
  <c r="DC20" i="1" s="1"/>
  <c r="BU20" i="1"/>
  <c r="CK20" i="1" s="1"/>
  <c r="DB20" i="1" s="1"/>
  <c r="BF20" i="1"/>
  <c r="CT20" i="1" s="1"/>
  <c r="AX20" i="1"/>
  <c r="AP20" i="1"/>
  <c r="CD20" i="1" s="1"/>
  <c r="AE20" i="1"/>
  <c r="AY20" i="1" s="1"/>
  <c r="CQ20" i="1" s="1"/>
  <c r="CO19" i="1"/>
  <c r="BX19" i="1"/>
  <c r="DU19" i="1" s="1"/>
  <c r="BW19" i="1"/>
  <c r="BV19" i="1"/>
  <c r="CL19" i="1" s="1"/>
  <c r="DC19" i="1" s="1"/>
  <c r="BU19" i="1"/>
  <c r="DR19" i="1" s="1"/>
  <c r="AP19" i="1"/>
  <c r="AE19" i="1"/>
  <c r="AZ19" i="1" s="1"/>
  <c r="CR19" i="1" s="1"/>
  <c r="CO18" i="1"/>
  <c r="BX18" i="1"/>
  <c r="BW18" i="1"/>
  <c r="CM18" i="1" s="1"/>
  <c r="DD18" i="1" s="1"/>
  <c r="BV18" i="1"/>
  <c r="DS18" i="1" s="1"/>
  <c r="BU18" i="1"/>
  <c r="DR18" i="1" s="1"/>
  <c r="AP18" i="1"/>
  <c r="AE18" i="1"/>
  <c r="BK18" i="1" s="1"/>
  <c r="CO17" i="1"/>
  <c r="BX17" i="1"/>
  <c r="CN17" i="1" s="1"/>
  <c r="DE17" i="1" s="1"/>
  <c r="BW17" i="1"/>
  <c r="CM17" i="1" s="1"/>
  <c r="DD17" i="1" s="1"/>
  <c r="BV17" i="1"/>
  <c r="BU17" i="1"/>
  <c r="CK17" i="1" s="1"/>
  <c r="DB17" i="1" s="1"/>
  <c r="AP17" i="1"/>
  <c r="CD17" i="1" s="1"/>
  <c r="AE17" i="1"/>
  <c r="CC17" i="1" s="1"/>
  <c r="CO16" i="1"/>
  <c r="BX16" i="1"/>
  <c r="DU16" i="1" s="1"/>
  <c r="BW16" i="1"/>
  <c r="BV16" i="1"/>
  <c r="CL16" i="1" s="1"/>
  <c r="DC16" i="1" s="1"/>
  <c r="BU16" i="1"/>
  <c r="CK16" i="1" s="1"/>
  <c r="DB16" i="1" s="1"/>
  <c r="AP16" i="1"/>
  <c r="AE16" i="1"/>
  <c r="BK16" i="1" s="1"/>
  <c r="CO15" i="1"/>
  <c r="BX15" i="1"/>
  <c r="CN15" i="1" s="1"/>
  <c r="DE15" i="1" s="1"/>
  <c r="BW15" i="1"/>
  <c r="CM15" i="1" s="1"/>
  <c r="DD15" i="1" s="1"/>
  <c r="BV15" i="1"/>
  <c r="CL15" i="1" s="1"/>
  <c r="DC15" i="1" s="1"/>
  <c r="BU15" i="1"/>
  <c r="DR15" i="1" s="1"/>
  <c r="BB15" i="1"/>
  <c r="AP15" i="1"/>
  <c r="CD15" i="1" s="1"/>
  <c r="AE15" i="1"/>
  <c r="BK15" i="1" s="1"/>
  <c r="DK15" i="1" s="1"/>
  <c r="CO14" i="1"/>
  <c r="BX14" i="1"/>
  <c r="CN14" i="1" s="1"/>
  <c r="DE14" i="1" s="1"/>
  <c r="BW14" i="1"/>
  <c r="BV14" i="1"/>
  <c r="CL14" i="1" s="1"/>
  <c r="DC14" i="1" s="1"/>
  <c r="BU14" i="1"/>
  <c r="CK14" i="1" s="1"/>
  <c r="DB14" i="1" s="1"/>
  <c r="AP14" i="1"/>
  <c r="CD14" i="1" s="1"/>
  <c r="AE14" i="1"/>
  <c r="BK14" i="1" s="1"/>
  <c r="CO13" i="1"/>
  <c r="BX13" i="1"/>
  <c r="DU13" i="1" s="1"/>
  <c r="BW13" i="1"/>
  <c r="BV13" i="1"/>
  <c r="CL13" i="1" s="1"/>
  <c r="DC13" i="1" s="1"/>
  <c r="BU13" i="1"/>
  <c r="DR13" i="1" s="1"/>
  <c r="AP13" i="1"/>
  <c r="AE13" i="1"/>
  <c r="BK13" i="1" s="1"/>
  <c r="DK13" i="1" s="1"/>
  <c r="CO12" i="1"/>
  <c r="BX12" i="1"/>
  <c r="BW12" i="1"/>
  <c r="DT12" i="1" s="1"/>
  <c r="EH12" i="1" s="1"/>
  <c r="BV12" i="1"/>
  <c r="DS12" i="1" s="1"/>
  <c r="BU12" i="1"/>
  <c r="CK12" i="1" s="1"/>
  <c r="DB12" i="1" s="1"/>
  <c r="AP12" i="1"/>
  <c r="AE12" i="1"/>
  <c r="BL12" i="1" s="1"/>
  <c r="DL12" i="1" s="1"/>
  <c r="CO11" i="1"/>
  <c r="BX11" i="1"/>
  <c r="DU11" i="1" s="1"/>
  <c r="BW11" i="1"/>
  <c r="DT11" i="1" s="1"/>
  <c r="EH11" i="1" s="1"/>
  <c r="BV11" i="1"/>
  <c r="CL11" i="1" s="1"/>
  <c r="DC11" i="1" s="1"/>
  <c r="BU11" i="1"/>
  <c r="DR11" i="1" s="1"/>
  <c r="AP11" i="1"/>
  <c r="CD11" i="1" s="1"/>
  <c r="AE11" i="1"/>
  <c r="BF11" i="1" s="1"/>
  <c r="CO10" i="1"/>
  <c r="CK10" i="1"/>
  <c r="DB10" i="1" s="1"/>
  <c r="BX10" i="1"/>
  <c r="DU10" i="1" s="1"/>
  <c r="BW10" i="1"/>
  <c r="CM10" i="1" s="1"/>
  <c r="DD10" i="1" s="1"/>
  <c r="BV10" i="1"/>
  <c r="DS10" i="1" s="1"/>
  <c r="BU10" i="1"/>
  <c r="DR10" i="1" s="1"/>
  <c r="AP10" i="1"/>
  <c r="AE10" i="1"/>
  <c r="BC10" i="1" s="1"/>
  <c r="DH10" i="1" s="1"/>
  <c r="CO9" i="1"/>
  <c r="CM9" i="1"/>
  <c r="DD9" i="1" s="1"/>
  <c r="BX9" i="1"/>
  <c r="DU9" i="1" s="1"/>
  <c r="BW9" i="1"/>
  <c r="DT9" i="1" s="1"/>
  <c r="EH9" i="1" s="1"/>
  <c r="BV9" i="1"/>
  <c r="DS9" i="1" s="1"/>
  <c r="BU9" i="1"/>
  <c r="DR9" i="1" s="1"/>
  <c r="AP9" i="1"/>
  <c r="CD9" i="1" s="1"/>
  <c r="AE9" i="1"/>
  <c r="BK9" i="1" s="1"/>
  <c r="CO8" i="1"/>
  <c r="BX8" i="1"/>
  <c r="DU8" i="1" s="1"/>
  <c r="BW8" i="1"/>
  <c r="CM8" i="1" s="1"/>
  <c r="DD8" i="1" s="1"/>
  <c r="BV8" i="1"/>
  <c r="DS8" i="1" s="1"/>
  <c r="BU8" i="1"/>
  <c r="CK8" i="1" s="1"/>
  <c r="DB8" i="1" s="1"/>
  <c r="AP8" i="1"/>
  <c r="CD8" i="1" s="1"/>
  <c r="AE8" i="1"/>
  <c r="CO7" i="1"/>
  <c r="BX7" i="1"/>
  <c r="BW7" i="1"/>
  <c r="CM7" i="1" s="1"/>
  <c r="DD7" i="1" s="1"/>
  <c r="BV7" i="1"/>
  <c r="CL7" i="1" s="1"/>
  <c r="DC7" i="1" s="1"/>
  <c r="BU7" i="1"/>
  <c r="DR7" i="1" s="1"/>
  <c r="AP7" i="1"/>
  <c r="AE7" i="1"/>
  <c r="BI7" i="1" s="1"/>
  <c r="CW7" i="1" s="1"/>
  <c r="CO6" i="1"/>
  <c r="BX6" i="1"/>
  <c r="BW6" i="1"/>
  <c r="CM6" i="1" s="1"/>
  <c r="DD6" i="1" s="1"/>
  <c r="BV6" i="1"/>
  <c r="DS6" i="1" s="1"/>
  <c r="BU6" i="1"/>
  <c r="CK6" i="1" s="1"/>
  <c r="DB6" i="1" s="1"/>
  <c r="AP6" i="1"/>
  <c r="CD6" i="1" s="1"/>
  <c r="AE6" i="1"/>
  <c r="BH6" i="1" s="1"/>
  <c r="CV6" i="1" s="1"/>
  <c r="CO5" i="1"/>
  <c r="BX5" i="1"/>
  <c r="CN5" i="1" s="1"/>
  <c r="DE5" i="1" s="1"/>
  <c r="BW5" i="1"/>
  <c r="DT5" i="1" s="1"/>
  <c r="EH5" i="1" s="1"/>
  <c r="BV5" i="1"/>
  <c r="CL5" i="1" s="1"/>
  <c r="DC5" i="1" s="1"/>
  <c r="BU5" i="1"/>
  <c r="AP5" i="1"/>
  <c r="AE5" i="1"/>
  <c r="BI5" i="1" s="1"/>
  <c r="CW5" i="1" s="1"/>
  <c r="X5" i="1"/>
  <c r="W5" i="1"/>
  <c r="W6" i="1" s="1"/>
  <c r="W7" i="1" s="1"/>
  <c r="CA7" i="1" s="1"/>
  <c r="V5" i="1"/>
  <c r="V6" i="1" s="1"/>
  <c r="U5" i="1"/>
  <c r="U6" i="1" s="1"/>
  <c r="CK19" i="1" l="1"/>
  <c r="DB19" i="1" s="1"/>
  <c r="CM12" i="1"/>
  <c r="DD12" i="1" s="1"/>
  <c r="AQ15" i="1"/>
  <c r="DS16" i="1"/>
  <c r="BD15" i="1"/>
  <c r="DI15" i="1" s="1"/>
  <c r="BG15" i="1"/>
  <c r="BH21" i="1"/>
  <c r="CV21" i="1" s="1"/>
  <c r="CK27" i="1"/>
  <c r="DB27" i="1" s="1"/>
  <c r="BH12" i="1"/>
  <c r="CV12" i="1" s="1"/>
  <c r="BF21" i="1"/>
  <c r="CT21" i="1" s="1"/>
  <c r="CC21" i="1"/>
  <c r="BL26" i="1"/>
  <c r="DL26" i="1" s="1"/>
  <c r="CL21" i="1"/>
  <c r="DC21" i="1" s="1"/>
  <c r="BM26" i="1"/>
  <c r="DM26" i="1" s="1"/>
  <c r="BY5" i="1"/>
  <c r="DV5" i="1" s="1"/>
  <c r="CK9" i="1"/>
  <c r="DB9" i="1" s="1"/>
  <c r="AX15" i="1"/>
  <c r="BI21" i="1"/>
  <c r="CW21" i="1" s="1"/>
  <c r="AX9" i="1"/>
  <c r="CP9" i="1" s="1"/>
  <c r="AZ15" i="1"/>
  <c r="CR15" i="1" s="1"/>
  <c r="CC15" i="1"/>
  <c r="BM21" i="1"/>
  <c r="DM21" i="1" s="1"/>
  <c r="DR24" i="1"/>
  <c r="BC9" i="1"/>
  <c r="DH9" i="1" s="1"/>
  <c r="CN9" i="1"/>
  <c r="DE9" i="1" s="1"/>
  <c r="BH9" i="1"/>
  <c r="CV9" i="1" s="1"/>
  <c r="AQ12" i="1"/>
  <c r="DZ12" i="1" s="1"/>
  <c r="EG12" i="1" s="1"/>
  <c r="BH22" i="1"/>
  <c r="CV22" i="1" s="1"/>
  <c r="BC26" i="1"/>
  <c r="DH26" i="1" s="1"/>
  <c r="CL26" i="1"/>
  <c r="DC26" i="1" s="1"/>
  <c r="AZ12" i="1"/>
  <c r="CR12" i="1" s="1"/>
  <c r="DS13" i="1"/>
  <c r="BG20" i="1"/>
  <c r="CU20" i="1" s="1"/>
  <c r="AQ20" i="1"/>
  <c r="CN23" i="1"/>
  <c r="DE23" i="1" s="1"/>
  <c r="AZ5" i="1"/>
  <c r="CR5" i="1" s="1"/>
  <c r="AQ17" i="1"/>
  <c r="AZ23" i="1"/>
  <c r="CR23" i="1" s="1"/>
  <c r="AZ25" i="1"/>
  <c r="CR25" i="1" s="1"/>
  <c r="CC25" i="1"/>
  <c r="CL6" i="1"/>
  <c r="DC6" i="1" s="1"/>
  <c r="CN10" i="1"/>
  <c r="DE10" i="1" s="1"/>
  <c r="BB13" i="1"/>
  <c r="DG13" i="1" s="1"/>
  <c r="BC17" i="1"/>
  <c r="DH17" i="1" s="1"/>
  <c r="DU17" i="1"/>
  <c r="CN19" i="1"/>
  <c r="DE19" i="1" s="1"/>
  <c r="CK22" i="1"/>
  <c r="DB22" i="1" s="1"/>
  <c r="CL24" i="1"/>
  <c r="DC24" i="1" s="1"/>
  <c r="BB25" i="1"/>
  <c r="DG25" i="1" s="1"/>
  <c r="DU27" i="1"/>
  <c r="CL28" i="1"/>
  <c r="DC28" i="1" s="1"/>
  <c r="AX5" i="1"/>
  <c r="CP5" i="1" s="1"/>
  <c r="BB5" i="1"/>
  <c r="BF5" i="1"/>
  <c r="CT5" i="1" s="1"/>
  <c r="DU5" i="1"/>
  <c r="CN11" i="1"/>
  <c r="DE11" i="1" s="1"/>
  <c r="BH13" i="1"/>
  <c r="CV13" i="1" s="1"/>
  <c r="DS14" i="1"/>
  <c r="BH17" i="1"/>
  <c r="CV17" i="1" s="1"/>
  <c r="CL22" i="1"/>
  <c r="DC22" i="1" s="1"/>
  <c r="AQ24" i="1"/>
  <c r="CN24" i="1"/>
  <c r="DE24" i="1" s="1"/>
  <c r="BI25" i="1"/>
  <c r="CW25" i="1" s="1"/>
  <c r="CC13" i="1"/>
  <c r="BH5" i="1"/>
  <c r="CV5" i="1" s="1"/>
  <c r="AQ10" i="1"/>
  <c r="DZ10" i="1" s="1"/>
  <c r="EG10" i="1" s="1"/>
  <c r="BH15" i="1"/>
  <c r="CV15" i="1" s="1"/>
  <c r="AX21" i="1"/>
  <c r="CP21" i="1" s="1"/>
  <c r="CN22" i="1"/>
  <c r="DE22" i="1" s="1"/>
  <c r="BB24" i="1"/>
  <c r="BM25" i="1"/>
  <c r="DM25" i="1" s="1"/>
  <c r="AQ28" i="1"/>
  <c r="DR28" i="1"/>
  <c r="DT6" i="1"/>
  <c r="EH6" i="1" s="1"/>
  <c r="DS7" i="1"/>
  <c r="BL15" i="1"/>
  <c r="DL15" i="1" s="1"/>
  <c r="DU15" i="1"/>
  <c r="AZ21" i="1"/>
  <c r="CR21" i="1" s="1"/>
  <c r="BY6" i="1"/>
  <c r="DV6" i="1" s="1"/>
  <c r="U7" i="1"/>
  <c r="BY7" i="1" s="1"/>
  <c r="DV7" i="1" s="1"/>
  <c r="CD12" i="1"/>
  <c r="BF14" i="1"/>
  <c r="CT14" i="1" s="1"/>
  <c r="AQ6" i="1"/>
  <c r="DZ6" i="1" s="1"/>
  <c r="EG6" i="1" s="1"/>
  <c r="AQ7" i="1"/>
  <c r="CH7" i="1" s="1"/>
  <c r="AZ10" i="1"/>
  <c r="CR10" i="1" s="1"/>
  <c r="AX11" i="1"/>
  <c r="CK11" i="1"/>
  <c r="DB11" i="1" s="1"/>
  <c r="BI12" i="1"/>
  <c r="CW12" i="1" s="1"/>
  <c r="AX13" i="1"/>
  <c r="CK13" i="1"/>
  <c r="DB13" i="1" s="1"/>
  <c r="CK18" i="1"/>
  <c r="DB18" i="1" s="1"/>
  <c r="BD5" i="1"/>
  <c r="DI5" i="1" s="1"/>
  <c r="DS5" i="1"/>
  <c r="BI6" i="1"/>
  <c r="CW6" i="1" s="1"/>
  <c r="AX7" i="1"/>
  <c r="CP7" i="1" s="1"/>
  <c r="BL9" i="1"/>
  <c r="DL9" i="1" s="1"/>
  <c r="BB10" i="1"/>
  <c r="DG10" i="1" s="1"/>
  <c r="BC11" i="1"/>
  <c r="DH11" i="1" s="1"/>
  <c r="CM11" i="1"/>
  <c r="DD11" i="1" s="1"/>
  <c r="AX12" i="1"/>
  <c r="CP12" i="1" s="1"/>
  <c r="BM12" i="1"/>
  <c r="DM12" i="1" s="1"/>
  <c r="CL12" i="1"/>
  <c r="DC12" i="1" s="1"/>
  <c r="AY13" i="1"/>
  <c r="CQ13" i="1" s="1"/>
  <c r="BL13" i="1"/>
  <c r="DL13" i="1" s="1"/>
  <c r="AQ14" i="1"/>
  <c r="BH14" i="1"/>
  <c r="CV14" i="1" s="1"/>
  <c r="BF15" i="1"/>
  <c r="CT15" i="1" s="1"/>
  <c r="DS15" i="1"/>
  <c r="AX18" i="1"/>
  <c r="CP18" i="1" s="1"/>
  <c r="BL19" i="1"/>
  <c r="DL19" i="1" s="1"/>
  <c r="BB20" i="1"/>
  <c r="DG20" i="1" s="1"/>
  <c r="DS20" i="1"/>
  <c r="BD21" i="1"/>
  <c r="DI21" i="1" s="1"/>
  <c r="BM22" i="1"/>
  <c r="DM22" i="1" s="1"/>
  <c r="DT23" i="1"/>
  <c r="EH23" i="1" s="1"/>
  <c r="BI24" i="1"/>
  <c r="CW24" i="1" s="1"/>
  <c r="BF25" i="1"/>
  <c r="BC27" i="1"/>
  <c r="DH27" i="1" s="1"/>
  <c r="BD10" i="1"/>
  <c r="DI10" i="1" s="1"/>
  <c r="AY12" i="1"/>
  <c r="CQ12" i="1" s="1"/>
  <c r="DR12" i="1"/>
  <c r="AZ13" i="1"/>
  <c r="CR13" i="1" s="1"/>
  <c r="BM13" i="1"/>
  <c r="DM13" i="1" s="1"/>
  <c r="AX14" i="1"/>
  <c r="CP14" i="1" s="1"/>
  <c r="BL14" i="1"/>
  <c r="DL14" i="1" s="1"/>
  <c r="BD18" i="1"/>
  <c r="DI18" i="1" s="1"/>
  <c r="DT20" i="1"/>
  <c r="EH20" i="1" s="1"/>
  <c r="BH25" i="1"/>
  <c r="CV25" i="1" s="1"/>
  <c r="BD27" i="1"/>
  <c r="DI27" i="1" s="1"/>
  <c r="CM27" i="1"/>
  <c r="DD27" i="1" s="1"/>
  <c r="AX28" i="1"/>
  <c r="DX5" i="1"/>
  <c r="BH10" i="1"/>
  <c r="CV10" i="1" s="1"/>
  <c r="DR25" i="1"/>
  <c r="BF27" i="1"/>
  <c r="AY28" i="1"/>
  <c r="CQ28" i="1" s="1"/>
  <c r="AZ7" i="1"/>
  <c r="CR7" i="1" s="1"/>
  <c r="DR6" i="1"/>
  <c r="DT8" i="1"/>
  <c r="EH8" i="1" s="1"/>
  <c r="BM14" i="1"/>
  <c r="DM14" i="1" s="1"/>
  <c r="BL10" i="1"/>
  <c r="DL10" i="1" s="1"/>
  <c r="BB12" i="1"/>
  <c r="DG12" i="1" s="1"/>
  <c r="AZ14" i="1"/>
  <c r="CR14" i="1" s="1"/>
  <c r="AQ16" i="1"/>
  <c r="DZ16" i="1" s="1"/>
  <c r="EG16" i="1" s="1"/>
  <c r="BK20" i="1"/>
  <c r="DT22" i="1"/>
  <c r="EH22" i="1" s="1"/>
  <c r="AQ25" i="1"/>
  <c r="DZ25" i="1" s="1"/>
  <c r="EG25" i="1" s="1"/>
  <c r="CL25" i="1"/>
  <c r="DC25" i="1" s="1"/>
  <c r="BB28" i="1"/>
  <c r="DG28" i="1" s="1"/>
  <c r="BM6" i="1"/>
  <c r="DM6" i="1" s="1"/>
  <c r="CA5" i="1"/>
  <c r="BB7" i="1"/>
  <c r="DG7" i="1" s="1"/>
  <c r="AY14" i="1"/>
  <c r="CQ14" i="1" s="1"/>
  <c r="BL5" i="1"/>
  <c r="DL5" i="1" s="1"/>
  <c r="CC5" i="1"/>
  <c r="BC7" i="1"/>
  <c r="CC7" i="1"/>
  <c r="BD13" i="1"/>
  <c r="DI13" i="1" s="1"/>
  <c r="DR17" i="1"/>
  <c r="AQ5" i="1"/>
  <c r="CH5" i="1" s="1"/>
  <c r="BM5" i="1"/>
  <c r="DM5" i="1" s="1"/>
  <c r="CM5" i="1"/>
  <c r="DD5" i="1" s="1"/>
  <c r="BG7" i="1"/>
  <c r="CU7" i="1" s="1"/>
  <c r="CK7" i="1"/>
  <c r="DB7" i="1" s="1"/>
  <c r="BF12" i="1"/>
  <c r="CT12" i="1" s="1"/>
  <c r="BF13" i="1"/>
  <c r="CT13" i="1" s="1"/>
  <c r="BB14" i="1"/>
  <c r="DG14" i="1" s="1"/>
  <c r="AY15" i="1"/>
  <c r="CQ15" i="1" s="1"/>
  <c r="BM15" i="1"/>
  <c r="DM15" i="1" s="1"/>
  <c r="AY16" i="1"/>
  <c r="CQ16" i="1" s="1"/>
  <c r="BM17" i="1"/>
  <c r="DM17" i="1" s="1"/>
  <c r="DT17" i="1"/>
  <c r="EH17" i="1" s="1"/>
  <c r="DT18" i="1"/>
  <c r="EH18" i="1" s="1"/>
  <c r="BL21" i="1"/>
  <c r="DL21" i="1" s="1"/>
  <c r="AQ22" i="1"/>
  <c r="DZ22" i="1" s="1"/>
  <c r="EG22" i="1" s="1"/>
  <c r="AX25" i="1"/>
  <c r="BL25" i="1"/>
  <c r="DL25" i="1" s="1"/>
  <c r="DR26" i="1"/>
  <c r="BF28" i="1"/>
  <c r="CT28" i="1" s="1"/>
  <c r="CC28" i="1"/>
  <c r="BK7" i="1"/>
  <c r="DK7" i="1" s="1"/>
  <c r="CC11" i="1"/>
  <c r="BG12" i="1"/>
  <c r="CC12" i="1"/>
  <c r="BG13" i="1"/>
  <c r="CU13" i="1" s="1"/>
  <c r="BD14" i="1"/>
  <c r="DI14" i="1" s="1"/>
  <c r="DR16" i="1"/>
  <c r="BD22" i="1"/>
  <c r="DI22" i="1" s="1"/>
  <c r="AX24" i="1"/>
  <c r="CP24" i="1" s="1"/>
  <c r="DU26" i="1"/>
  <c r="BG28" i="1"/>
  <c r="CU28" i="1" s="1"/>
  <c r="BI28" i="1"/>
  <c r="CW28" i="1" s="1"/>
  <c r="BL7" i="1"/>
  <c r="DL7" i="1" s="1"/>
  <c r="BI13" i="1"/>
  <c r="CW13" i="1" s="1"/>
  <c r="BG14" i="1"/>
  <c r="CU14" i="1" s="1"/>
  <c r="CC14" i="1"/>
  <c r="BB21" i="1"/>
  <c r="DG21" i="1" s="1"/>
  <c r="CM24" i="1"/>
  <c r="DD24" i="1" s="1"/>
  <c r="BD25" i="1"/>
  <c r="DI25" i="1" s="1"/>
  <c r="BM28" i="1"/>
  <c r="DM28" i="1" s="1"/>
  <c r="CM28" i="1"/>
  <c r="DD28" i="1" s="1"/>
  <c r="DZ7" i="1"/>
  <c r="EG7" i="1" s="1"/>
  <c r="DU6" i="1"/>
  <c r="CN6" i="1"/>
  <c r="DE6" i="1" s="1"/>
  <c r="DU7" i="1"/>
  <c r="CN7" i="1"/>
  <c r="DE7" i="1" s="1"/>
  <c r="BH8" i="1"/>
  <c r="CV8" i="1" s="1"/>
  <c r="AZ8" i="1"/>
  <c r="CR8" i="1" s="1"/>
  <c r="AY8" i="1"/>
  <c r="CQ8" i="1" s="1"/>
  <c r="CC8" i="1"/>
  <c r="BG8" i="1"/>
  <c r="CU8" i="1" s="1"/>
  <c r="AX8" i="1"/>
  <c r="BF8" i="1"/>
  <c r="BD8" i="1"/>
  <c r="DI8" i="1" s="1"/>
  <c r="AQ8" i="1"/>
  <c r="BM8" i="1"/>
  <c r="DM8" i="1" s="1"/>
  <c r="BL8" i="1"/>
  <c r="DL8" i="1" s="1"/>
  <c r="BC8" i="1"/>
  <c r="DH8" i="1" s="1"/>
  <c r="BI8" i="1"/>
  <c r="CW8" i="1" s="1"/>
  <c r="BK8" i="1"/>
  <c r="BB8" i="1"/>
  <c r="DG5" i="1"/>
  <c r="CK5" i="1"/>
  <c r="DB5" i="1" s="1"/>
  <c r="DR5" i="1"/>
  <c r="DH7" i="1"/>
  <c r="DK9" i="1"/>
  <c r="BZ6" i="1"/>
  <c r="DW6" i="1" s="1"/>
  <c r="V7" i="1"/>
  <c r="CH6" i="1"/>
  <c r="CT11" i="1"/>
  <c r="CB5" i="1"/>
  <c r="DY5" i="1" s="1"/>
  <c r="X6" i="1"/>
  <c r="CU15" i="1"/>
  <c r="DZ17" i="1"/>
  <c r="EG17" i="1" s="1"/>
  <c r="CH17" i="1"/>
  <c r="DK20" i="1"/>
  <c r="BC5" i="1"/>
  <c r="DH5" i="1" s="1"/>
  <c r="BK5" i="1"/>
  <c r="CD5" i="1"/>
  <c r="BB6" i="1"/>
  <c r="CC6" i="1"/>
  <c r="AY7" i="1"/>
  <c r="CQ7" i="1" s="1"/>
  <c r="BH7" i="1"/>
  <c r="CV7" i="1" s="1"/>
  <c r="CD7" i="1"/>
  <c r="DT7" i="1"/>
  <c r="EH7" i="1" s="1"/>
  <c r="BB9" i="1"/>
  <c r="DT10" i="1"/>
  <c r="EH10" i="1" s="1"/>
  <c r="DZ15" i="1"/>
  <c r="EG15" i="1" s="1"/>
  <c r="CH15" i="1"/>
  <c r="BC6" i="1"/>
  <c r="DH6" i="1" s="1"/>
  <c r="BK6" i="1"/>
  <c r="W8" i="1"/>
  <c r="CL9" i="1"/>
  <c r="DC9" i="1" s="1"/>
  <c r="BM11" i="1"/>
  <c r="DM11" i="1" s="1"/>
  <c r="BL11" i="1"/>
  <c r="DL11" i="1" s="1"/>
  <c r="BD11" i="1"/>
  <c r="DI11" i="1" s="1"/>
  <c r="BI11" i="1"/>
  <c r="CW11" i="1" s="1"/>
  <c r="BG11" i="1"/>
  <c r="CU11" i="1" s="1"/>
  <c r="DS11" i="1"/>
  <c r="DK14" i="1"/>
  <c r="DZ20" i="1"/>
  <c r="EG20" i="1" s="1"/>
  <c r="CH20" i="1"/>
  <c r="CD21" i="1"/>
  <c r="AQ21" i="1"/>
  <c r="BD6" i="1"/>
  <c r="DI6" i="1" s="1"/>
  <c r="BL6" i="1"/>
  <c r="DL6" i="1" s="1"/>
  <c r="BG9" i="1"/>
  <c r="CU9" i="1" s="1"/>
  <c r="AY9" i="1"/>
  <c r="BD9" i="1"/>
  <c r="DI9" i="1" s="1"/>
  <c r="BM9" i="1"/>
  <c r="DM9" i="1" s="1"/>
  <c r="BF10" i="1"/>
  <c r="AX10" i="1"/>
  <c r="BM10" i="1"/>
  <c r="DM10" i="1" s="1"/>
  <c r="CC10" i="1"/>
  <c r="BG10" i="1"/>
  <c r="CU10" i="1" s="1"/>
  <c r="CD10" i="1"/>
  <c r="AQ11" i="1"/>
  <c r="BH11" i="1"/>
  <c r="CV11" i="1" s="1"/>
  <c r="CU12" i="1"/>
  <c r="CK15" i="1"/>
  <c r="DB15" i="1" s="1"/>
  <c r="DK16" i="1"/>
  <c r="DX7" i="1"/>
  <c r="CN12" i="1"/>
  <c r="DE12" i="1" s="1"/>
  <c r="DU12" i="1"/>
  <c r="AY5" i="1"/>
  <c r="CQ5" i="1" s="1"/>
  <c r="BG5" i="1"/>
  <c r="BZ5" i="1"/>
  <c r="DW5" i="1" s="1"/>
  <c r="AX6" i="1"/>
  <c r="BF6" i="1"/>
  <c r="DX6" i="1"/>
  <c r="BD7" i="1"/>
  <c r="DI7" i="1" s="1"/>
  <c r="BM7" i="1"/>
  <c r="DM7" i="1" s="1"/>
  <c r="CL8" i="1"/>
  <c r="DC8" i="1" s="1"/>
  <c r="AQ9" i="1"/>
  <c r="BF9" i="1"/>
  <c r="CC9" i="1"/>
  <c r="AY10" i="1"/>
  <c r="CQ10" i="1" s="1"/>
  <c r="BI10" i="1"/>
  <c r="CW10" i="1" s="1"/>
  <c r="CH10" i="1"/>
  <c r="AY11" i="1"/>
  <c r="CQ11" i="1" s="1"/>
  <c r="BK11" i="1"/>
  <c r="DG15" i="1"/>
  <c r="DS17" i="1"/>
  <c r="CL17" i="1"/>
  <c r="DC17" i="1" s="1"/>
  <c r="BG6" i="1"/>
  <c r="CU6" i="1" s="1"/>
  <c r="CN18" i="1"/>
  <c r="DE18" i="1" s="1"/>
  <c r="DU18" i="1"/>
  <c r="DK18" i="1"/>
  <c r="DK23" i="1"/>
  <c r="CP11" i="1"/>
  <c r="AY6" i="1"/>
  <c r="CQ6" i="1" s="1"/>
  <c r="DR8" i="1"/>
  <c r="AZ11" i="1"/>
  <c r="CR11" i="1" s="1"/>
  <c r="CM14" i="1"/>
  <c r="DD14" i="1" s="1"/>
  <c r="DT14" i="1"/>
  <c r="EH14" i="1" s="1"/>
  <c r="AZ6" i="1"/>
  <c r="CR6" i="1" s="1"/>
  <c r="CA6" i="1"/>
  <c r="BF7" i="1"/>
  <c r="CN8" i="1"/>
  <c r="DE8" i="1" s="1"/>
  <c r="AZ9" i="1"/>
  <c r="CR9" i="1" s="1"/>
  <c r="BI9" i="1"/>
  <c r="CW9" i="1" s="1"/>
  <c r="BK10" i="1"/>
  <c r="CL10" i="1"/>
  <c r="DC10" i="1" s="1"/>
  <c r="BB11" i="1"/>
  <c r="CD13" i="1"/>
  <c r="AQ13" i="1"/>
  <c r="DT13" i="1"/>
  <c r="EH13" i="1" s="1"/>
  <c r="CM13" i="1"/>
  <c r="DD13" i="1" s="1"/>
  <c r="CC16" i="1"/>
  <c r="BB16" i="1"/>
  <c r="BH16" i="1"/>
  <c r="CV16" i="1" s="1"/>
  <c r="AZ16" i="1"/>
  <c r="CR16" i="1" s="1"/>
  <c r="BI16" i="1"/>
  <c r="CW16" i="1" s="1"/>
  <c r="AX16" i="1"/>
  <c r="BG16" i="1"/>
  <c r="CU16" i="1" s="1"/>
  <c r="BF16" i="1"/>
  <c r="BD16" i="1"/>
  <c r="DI16" i="1" s="1"/>
  <c r="BM16" i="1"/>
  <c r="DM16" i="1" s="1"/>
  <c r="BC16" i="1"/>
  <c r="DH16" i="1" s="1"/>
  <c r="BL16" i="1"/>
  <c r="DL16" i="1" s="1"/>
  <c r="CM16" i="1"/>
  <c r="DD16" i="1" s="1"/>
  <c r="DT16" i="1"/>
  <c r="EH16" i="1" s="1"/>
  <c r="CH24" i="1"/>
  <c r="DZ24" i="1"/>
  <c r="EG24" i="1" s="1"/>
  <c r="CP13" i="1"/>
  <c r="CN21" i="1"/>
  <c r="DE21" i="1" s="1"/>
  <c r="DU21" i="1"/>
  <c r="CH25" i="1"/>
  <c r="BD17" i="1"/>
  <c r="DI17" i="1" s="1"/>
  <c r="BI19" i="1"/>
  <c r="CW19" i="1" s="1"/>
  <c r="BH19" i="1"/>
  <c r="CV19" i="1" s="1"/>
  <c r="AY19" i="1"/>
  <c r="CQ19" i="1" s="1"/>
  <c r="BF19" i="1"/>
  <c r="BG19" i="1"/>
  <c r="CU19" i="1" s="1"/>
  <c r="DR21" i="1"/>
  <c r="CK21" i="1"/>
  <c r="DB21" i="1" s="1"/>
  <c r="BI23" i="1"/>
  <c r="CW23" i="1" s="1"/>
  <c r="BM23" i="1"/>
  <c r="DM23" i="1" s="1"/>
  <c r="AY23" i="1"/>
  <c r="CQ23" i="1" s="1"/>
  <c r="BD23" i="1"/>
  <c r="DI23" i="1" s="1"/>
  <c r="BF23" i="1"/>
  <c r="BB23" i="1"/>
  <c r="BL23" i="1"/>
  <c r="DL23" i="1" s="1"/>
  <c r="CC23" i="1"/>
  <c r="DT25" i="1"/>
  <c r="EH25" i="1" s="1"/>
  <c r="CM25" i="1"/>
  <c r="DD25" i="1" s="1"/>
  <c r="BI17" i="1"/>
  <c r="CW17" i="1" s="1"/>
  <c r="BG17" i="1"/>
  <c r="CU17" i="1" s="1"/>
  <c r="AY17" i="1"/>
  <c r="CQ17" i="1" s="1"/>
  <c r="CC18" i="1"/>
  <c r="BB18" i="1"/>
  <c r="BH18" i="1"/>
  <c r="CV18" i="1" s="1"/>
  <c r="AY18" i="1"/>
  <c r="CQ18" i="1" s="1"/>
  <c r="BF18" i="1"/>
  <c r="BG18" i="1"/>
  <c r="CU18" i="1" s="1"/>
  <c r="CD19" i="1"/>
  <c r="AQ19" i="1"/>
  <c r="DT19" i="1"/>
  <c r="EH19" i="1" s="1"/>
  <c r="CM19" i="1"/>
  <c r="DD19" i="1" s="1"/>
  <c r="AQ23" i="1"/>
  <c r="CD23" i="1"/>
  <c r="DG24" i="1"/>
  <c r="BN26" i="1"/>
  <c r="DK26" i="1"/>
  <c r="DR14" i="1"/>
  <c r="DT15" i="1"/>
  <c r="EH15" i="1" s="1"/>
  <c r="CN16" i="1"/>
  <c r="DE16" i="1" s="1"/>
  <c r="BF17" i="1"/>
  <c r="AQ18" i="1"/>
  <c r="BI18" i="1"/>
  <c r="CW18" i="1" s="1"/>
  <c r="AX19" i="1"/>
  <c r="BK19" i="1"/>
  <c r="DR20" i="1"/>
  <c r="DT21" i="1"/>
  <c r="EH21" i="1" s="1"/>
  <c r="CM21" i="1"/>
  <c r="DD21" i="1" s="1"/>
  <c r="CC22" i="1"/>
  <c r="BB22" i="1"/>
  <c r="BF22" i="1"/>
  <c r="AX22" i="1"/>
  <c r="BG22" i="1"/>
  <c r="CU22" i="1" s="1"/>
  <c r="BL22" i="1"/>
  <c r="DL22" i="1" s="1"/>
  <c r="BC22" i="1"/>
  <c r="DH22" i="1" s="1"/>
  <c r="BK22" i="1"/>
  <c r="AX23" i="1"/>
  <c r="CK23" i="1"/>
  <c r="DB23" i="1" s="1"/>
  <c r="CH28" i="1"/>
  <c r="DZ28" i="1"/>
  <c r="EG28" i="1" s="1"/>
  <c r="CP28" i="1"/>
  <c r="CD16" i="1"/>
  <c r="AX17" i="1"/>
  <c r="AZ18" i="1"/>
  <c r="CR18" i="1" s="1"/>
  <c r="BL18" i="1"/>
  <c r="DL18" i="1" s="1"/>
  <c r="CL18" i="1"/>
  <c r="DC18" i="1" s="1"/>
  <c r="BB19" i="1"/>
  <c r="BM19" i="1"/>
  <c r="DM19" i="1" s="1"/>
  <c r="CN20" i="1"/>
  <c r="DE20" i="1" s="1"/>
  <c r="CH22" i="1"/>
  <c r="BC23" i="1"/>
  <c r="DH23" i="1" s="1"/>
  <c r="DS27" i="1"/>
  <c r="BC12" i="1"/>
  <c r="BK12" i="1"/>
  <c r="DU14" i="1"/>
  <c r="AZ17" i="1"/>
  <c r="CR17" i="1" s="1"/>
  <c r="BK17" i="1"/>
  <c r="BM18" i="1"/>
  <c r="DM18" i="1" s="1"/>
  <c r="BC19" i="1"/>
  <c r="DH19" i="1" s="1"/>
  <c r="CC19" i="1"/>
  <c r="BL20" i="1"/>
  <c r="DL20" i="1" s="1"/>
  <c r="BD20" i="1"/>
  <c r="DI20" i="1" s="1"/>
  <c r="BH20" i="1"/>
  <c r="CV20" i="1" s="1"/>
  <c r="AZ20" i="1"/>
  <c r="CR20" i="1" s="1"/>
  <c r="BC20" i="1"/>
  <c r="DH20" i="1" s="1"/>
  <c r="BM20" i="1"/>
  <c r="DM20" i="1" s="1"/>
  <c r="BI20" i="1"/>
  <c r="CW20" i="1" s="1"/>
  <c r="AY22" i="1"/>
  <c r="CQ22" i="1" s="1"/>
  <c r="BG23" i="1"/>
  <c r="CU23" i="1" s="1"/>
  <c r="BH24" i="1"/>
  <c r="CV24" i="1" s="1"/>
  <c r="AZ24" i="1"/>
  <c r="CR24" i="1" s="1"/>
  <c r="BL24" i="1"/>
  <c r="DL24" i="1" s="1"/>
  <c r="BD24" i="1"/>
  <c r="DI24" i="1" s="1"/>
  <c r="BK24" i="1"/>
  <c r="CC24" i="1"/>
  <c r="BF24" i="1"/>
  <c r="BC24" i="1"/>
  <c r="DH24" i="1" s="1"/>
  <c r="AY24" i="1"/>
  <c r="CQ24" i="1" s="1"/>
  <c r="BM24" i="1"/>
  <c r="DM24" i="1" s="1"/>
  <c r="BF26" i="1"/>
  <c r="AX26" i="1"/>
  <c r="CC26" i="1"/>
  <c r="BB26" i="1"/>
  <c r="BD26" i="1"/>
  <c r="DI26" i="1" s="1"/>
  <c r="BI26" i="1"/>
  <c r="CW26" i="1" s="1"/>
  <c r="AY26" i="1"/>
  <c r="CQ26" i="1" s="1"/>
  <c r="BH26" i="1"/>
  <c r="CV26" i="1" s="1"/>
  <c r="AQ26" i="1"/>
  <c r="BG26" i="1"/>
  <c r="CU26" i="1" s="1"/>
  <c r="BD12" i="1"/>
  <c r="DI12" i="1" s="1"/>
  <c r="BC13" i="1"/>
  <c r="CN13" i="1"/>
  <c r="DE13" i="1" s="1"/>
  <c r="CP15" i="1"/>
  <c r="BB17" i="1"/>
  <c r="BL17" i="1"/>
  <c r="DL17" i="1" s="1"/>
  <c r="BC18" i="1"/>
  <c r="DH18" i="1" s="1"/>
  <c r="CD18" i="1"/>
  <c r="BD19" i="1"/>
  <c r="DI19" i="1" s="1"/>
  <c r="DS19" i="1"/>
  <c r="CC20" i="1"/>
  <c r="CP20" i="1"/>
  <c r="AZ22" i="1"/>
  <c r="CR22" i="1" s="1"/>
  <c r="BH23" i="1"/>
  <c r="CV23" i="1" s="1"/>
  <c r="CM26" i="1"/>
  <c r="DD26" i="1" s="1"/>
  <c r="DT26" i="1"/>
  <c r="EH26" i="1" s="1"/>
  <c r="CT27" i="1"/>
  <c r="BI14" i="1"/>
  <c r="BI15" i="1"/>
  <c r="CW15" i="1" s="1"/>
  <c r="DK21" i="1"/>
  <c r="CP25" i="1"/>
  <c r="BM27" i="1"/>
  <c r="DM27" i="1" s="1"/>
  <c r="BI27" i="1"/>
  <c r="CW27" i="1" s="1"/>
  <c r="BG27" i="1"/>
  <c r="CU27" i="1" s="1"/>
  <c r="BL27" i="1"/>
  <c r="DL27" i="1" s="1"/>
  <c r="BB27" i="1"/>
  <c r="BK27" i="1"/>
  <c r="AZ27" i="1"/>
  <c r="CR27" i="1" s="1"/>
  <c r="AY27" i="1"/>
  <c r="CQ27" i="1" s="1"/>
  <c r="CC27" i="1"/>
  <c r="BC14" i="1"/>
  <c r="BC15" i="1"/>
  <c r="DH15" i="1" s="1"/>
  <c r="CL23" i="1"/>
  <c r="DC23" i="1" s="1"/>
  <c r="DS23" i="1"/>
  <c r="AX27" i="1"/>
  <c r="CN28" i="1"/>
  <c r="DE28" i="1" s="1"/>
  <c r="DU28" i="1"/>
  <c r="DU25" i="1"/>
  <c r="AQ27" i="1"/>
  <c r="CD27" i="1"/>
  <c r="AY21" i="1"/>
  <c r="BG21" i="1"/>
  <c r="CU21" i="1" s="1"/>
  <c r="BC25" i="1"/>
  <c r="DH25" i="1" s="1"/>
  <c r="BK25" i="1"/>
  <c r="AZ28" i="1"/>
  <c r="CR28" i="1" s="1"/>
  <c r="BH28" i="1"/>
  <c r="BC28" i="1"/>
  <c r="DH28" i="1" s="1"/>
  <c r="BK28" i="1"/>
  <c r="BC21" i="1"/>
  <c r="DH21" i="1" s="1"/>
  <c r="AY25" i="1"/>
  <c r="CQ25" i="1" s="1"/>
  <c r="BD28" i="1"/>
  <c r="DI28" i="1" s="1"/>
  <c r="DZ5" i="1" l="1"/>
  <c r="EG5" i="1" s="1"/>
  <c r="BA15" i="1"/>
  <c r="CS15" i="1" s="1"/>
  <c r="BN15" i="1"/>
  <c r="CH16" i="1"/>
  <c r="CH12" i="1"/>
  <c r="BA12" i="1"/>
  <c r="DF12" i="1" s="1"/>
  <c r="BJ13" i="1"/>
  <c r="CX13" i="1" s="1"/>
  <c r="BE10" i="1"/>
  <c r="DJ10" i="1" s="1"/>
  <c r="BA14" i="1"/>
  <c r="U8" i="1"/>
  <c r="BY8" i="1" s="1"/>
  <c r="DV8" i="1" s="1"/>
  <c r="BJ12" i="1"/>
  <c r="BO12" i="1" s="1"/>
  <c r="BA5" i="1"/>
  <c r="DF5" i="1" s="1"/>
  <c r="BE25" i="1"/>
  <c r="DJ25" i="1" s="1"/>
  <c r="BA28" i="1"/>
  <c r="DF28" i="1" s="1"/>
  <c r="BA11" i="1"/>
  <c r="DF11" i="1" s="1"/>
  <c r="BA13" i="1"/>
  <c r="CS13" i="1" s="1"/>
  <c r="BE5" i="1"/>
  <c r="DJ5" i="1" s="1"/>
  <c r="BN21" i="1"/>
  <c r="BA20" i="1"/>
  <c r="CS20" i="1" s="1"/>
  <c r="BN14" i="1"/>
  <c r="DN14" i="1" s="1"/>
  <c r="BN13" i="1"/>
  <c r="DN13" i="1" s="1"/>
  <c r="CH14" i="1"/>
  <c r="DZ14" i="1"/>
  <c r="EG14" i="1" s="1"/>
  <c r="BJ11" i="1"/>
  <c r="CX11" i="1" s="1"/>
  <c r="CT25" i="1"/>
  <c r="BJ25" i="1"/>
  <c r="CX25" i="1" s="1"/>
  <c r="DZ27" i="1"/>
  <c r="EG27" i="1" s="1"/>
  <c r="CH27" i="1"/>
  <c r="CS28" i="1"/>
  <c r="BE20" i="1"/>
  <c r="DJ20" i="1" s="1"/>
  <c r="CT24" i="1"/>
  <c r="BJ24" i="1"/>
  <c r="BJ22" i="1"/>
  <c r="CT22" i="1"/>
  <c r="BN19" i="1"/>
  <c r="DK19" i="1"/>
  <c r="DF14" i="1"/>
  <c r="CS14" i="1"/>
  <c r="BE11" i="1"/>
  <c r="DJ11" i="1" s="1"/>
  <c r="DG11" i="1"/>
  <c r="BN23" i="1"/>
  <c r="BE21" i="1"/>
  <c r="DJ21" i="1" s="1"/>
  <c r="DN15" i="1"/>
  <c r="CQ9" i="1"/>
  <c r="BA9" i="1"/>
  <c r="CA8" i="1"/>
  <c r="DX8" i="1"/>
  <c r="W9" i="1"/>
  <c r="DG6" i="1"/>
  <c r="BE6" i="1"/>
  <c r="DJ6" i="1" s="1"/>
  <c r="BN9" i="1"/>
  <c r="DK8" i="1"/>
  <c r="BN8" i="1"/>
  <c r="CP8" i="1"/>
  <c r="BA8" i="1"/>
  <c r="DK25" i="1"/>
  <c r="BN25" i="1"/>
  <c r="DF20" i="1"/>
  <c r="BE9" i="1"/>
  <c r="DJ9" i="1" s="1"/>
  <c r="DG9" i="1"/>
  <c r="BE28" i="1"/>
  <c r="DJ28" i="1" s="1"/>
  <c r="BA19" i="1"/>
  <c r="CP19" i="1"/>
  <c r="CP27" i="1"/>
  <c r="BA27" i="1"/>
  <c r="BA25" i="1"/>
  <c r="DK24" i="1"/>
  <c r="BN24" i="1"/>
  <c r="BA23" i="1"/>
  <c r="CP23" i="1"/>
  <c r="DN26" i="1"/>
  <c r="CT23" i="1"/>
  <c r="BJ23" i="1"/>
  <c r="BN10" i="1"/>
  <c r="DK10" i="1"/>
  <c r="BJ20" i="1"/>
  <c r="BN6" i="1"/>
  <c r="DK6" i="1"/>
  <c r="U9" i="1"/>
  <c r="DK5" i="1"/>
  <c r="BN5" i="1"/>
  <c r="BJ15" i="1"/>
  <c r="BE7" i="1"/>
  <c r="DJ7" i="1" s="1"/>
  <c r="BE22" i="1"/>
  <c r="DJ22" i="1" s="1"/>
  <c r="DG22" i="1"/>
  <c r="BE16" i="1"/>
  <c r="DJ16" i="1" s="1"/>
  <c r="DG16" i="1"/>
  <c r="DK27" i="1"/>
  <c r="BN27" i="1"/>
  <c r="CP26" i="1"/>
  <c r="BA26" i="1"/>
  <c r="DK17" i="1"/>
  <c r="BN17" i="1"/>
  <c r="BA17" i="1"/>
  <c r="CP17" i="1"/>
  <c r="BN22" i="1"/>
  <c r="DK22" i="1"/>
  <c r="DZ18" i="1"/>
  <c r="EG18" i="1" s="1"/>
  <c r="CH18" i="1"/>
  <c r="BE24" i="1"/>
  <c r="DJ24" i="1" s="1"/>
  <c r="CT19" i="1"/>
  <c r="BJ19" i="1"/>
  <c r="BA18" i="1"/>
  <c r="BJ16" i="1"/>
  <c r="CT16" i="1"/>
  <c r="CT6" i="1"/>
  <c r="BJ6" i="1"/>
  <c r="CX12" i="1"/>
  <c r="BE23" i="1"/>
  <c r="DJ23" i="1" s="1"/>
  <c r="DG23" i="1"/>
  <c r="BA21" i="1"/>
  <c r="CQ21" i="1"/>
  <c r="BE27" i="1"/>
  <c r="DJ27" i="1" s="1"/>
  <c r="DG27" i="1"/>
  <c r="DG17" i="1"/>
  <c r="BE17" i="1"/>
  <c r="DJ17" i="1" s="1"/>
  <c r="DZ26" i="1"/>
  <c r="EG26" i="1" s="1"/>
  <c r="CH26" i="1"/>
  <c r="BJ26" i="1"/>
  <c r="CT26" i="1"/>
  <c r="BJ21" i="1"/>
  <c r="CT17" i="1"/>
  <c r="BJ17" i="1"/>
  <c r="BJ18" i="1"/>
  <c r="CT18" i="1"/>
  <c r="BE15" i="1"/>
  <c r="DJ15" i="1" s="1"/>
  <c r="BA6" i="1"/>
  <c r="CP6" i="1"/>
  <c r="CP10" i="1"/>
  <c r="BA10" i="1"/>
  <c r="CH21" i="1"/>
  <c r="DZ21" i="1"/>
  <c r="EG21" i="1" s="1"/>
  <c r="BA7" i="1"/>
  <c r="BN20" i="1"/>
  <c r="BE26" i="1"/>
  <c r="DJ26" i="1" s="1"/>
  <c r="DG26" i="1"/>
  <c r="DZ19" i="1"/>
  <c r="EG19" i="1" s="1"/>
  <c r="CH19" i="1"/>
  <c r="DK28" i="1"/>
  <c r="BN28" i="1"/>
  <c r="CP16" i="1"/>
  <c r="BA16" i="1"/>
  <c r="CH13" i="1"/>
  <c r="DZ13" i="1"/>
  <c r="EG13" i="1" s="1"/>
  <c r="CT9" i="1"/>
  <c r="BJ9" i="1"/>
  <c r="BN16" i="1"/>
  <c r="CT10" i="1"/>
  <c r="BJ10" i="1"/>
  <c r="BN18" i="1"/>
  <c r="BN7" i="1"/>
  <c r="V8" i="1"/>
  <c r="BZ7" i="1"/>
  <c r="DW7" i="1" s="1"/>
  <c r="CH8" i="1"/>
  <c r="DZ8" i="1"/>
  <c r="EG8" i="1" s="1"/>
  <c r="DK12" i="1"/>
  <c r="BN12" i="1"/>
  <c r="DZ23" i="1"/>
  <c r="EG23" i="1" s="1"/>
  <c r="CH23" i="1"/>
  <c r="CT7" i="1"/>
  <c r="BJ7" i="1"/>
  <c r="CU5" i="1"/>
  <c r="BJ5" i="1"/>
  <c r="CW14" i="1"/>
  <c r="BJ14" i="1"/>
  <c r="BA24" i="1"/>
  <c r="CH9" i="1"/>
  <c r="DZ9" i="1"/>
  <c r="EG9" i="1" s="1"/>
  <c r="DZ11" i="1"/>
  <c r="EG11" i="1" s="1"/>
  <c r="CH11" i="1"/>
  <c r="CV28" i="1"/>
  <c r="BJ28" i="1"/>
  <c r="DH14" i="1"/>
  <c r="BE14" i="1"/>
  <c r="BJ27" i="1"/>
  <c r="DH13" i="1"/>
  <c r="BE13" i="1"/>
  <c r="DJ13" i="1" s="1"/>
  <c r="DH12" i="1"/>
  <c r="BE12" i="1"/>
  <c r="DJ12" i="1" s="1"/>
  <c r="DG19" i="1"/>
  <c r="BE19" i="1"/>
  <c r="DJ19" i="1" s="1"/>
  <c r="CP22" i="1"/>
  <c r="BA22" i="1"/>
  <c r="DG18" i="1"/>
  <c r="BE18" i="1"/>
  <c r="DJ18" i="1" s="1"/>
  <c r="CS12" i="1"/>
  <c r="BN11" i="1"/>
  <c r="DK11" i="1"/>
  <c r="CB6" i="1"/>
  <c r="DY6" i="1" s="1"/>
  <c r="X7" i="1"/>
  <c r="DG8" i="1"/>
  <c r="BE8" i="1"/>
  <c r="DJ8" i="1" s="1"/>
  <c r="CT8" i="1"/>
  <c r="BJ8" i="1"/>
  <c r="DF15" i="1" l="1"/>
  <c r="CS5" i="1"/>
  <c r="DF13" i="1"/>
  <c r="BP21" i="1"/>
  <c r="CF21" i="1" s="1"/>
  <c r="BO13" i="1"/>
  <c r="CE13" i="1" s="1"/>
  <c r="BP13" i="1"/>
  <c r="CF13" i="1" s="1"/>
  <c r="CS11" i="1"/>
  <c r="DN21" i="1"/>
  <c r="BO11" i="1"/>
  <c r="CE11" i="1" s="1"/>
  <c r="BP26" i="1"/>
  <c r="CF26" i="1" s="1"/>
  <c r="BO28" i="1"/>
  <c r="CX28" i="1"/>
  <c r="BO22" i="1"/>
  <c r="CX22" i="1"/>
  <c r="BZ8" i="1"/>
  <c r="DW8" i="1" s="1"/>
  <c r="V9" i="1"/>
  <c r="BO8" i="1"/>
  <c r="CX8" i="1"/>
  <c r="DN7" i="1"/>
  <c r="BP7" i="1"/>
  <c r="DF6" i="1"/>
  <c r="CS6" i="1"/>
  <c r="CX26" i="1"/>
  <c r="BO26" i="1"/>
  <c r="DF21" i="1"/>
  <c r="CS21" i="1"/>
  <c r="CX16" i="1"/>
  <c r="BO16" i="1"/>
  <c r="DN22" i="1"/>
  <c r="BP22" i="1"/>
  <c r="BO15" i="1"/>
  <c r="CX15" i="1"/>
  <c r="CS19" i="1"/>
  <c r="DF19" i="1"/>
  <c r="DN9" i="1"/>
  <c r="BP9" i="1"/>
  <c r="BP15" i="1"/>
  <c r="CX24" i="1"/>
  <c r="BO24" i="1"/>
  <c r="DN11" i="1"/>
  <c r="BP11" i="1"/>
  <c r="CS24" i="1"/>
  <c r="DF24" i="1"/>
  <c r="DN18" i="1"/>
  <c r="BP18" i="1"/>
  <c r="CS16" i="1"/>
  <c r="DF16" i="1"/>
  <c r="BP20" i="1"/>
  <c r="DN20" i="1"/>
  <c r="DF18" i="1"/>
  <c r="CS18" i="1"/>
  <c r="DN27" i="1"/>
  <c r="BP27" i="1"/>
  <c r="BP5" i="1"/>
  <c r="DN5" i="1"/>
  <c r="CX20" i="1"/>
  <c r="BO20" i="1"/>
  <c r="DF23" i="1"/>
  <c r="CS23" i="1"/>
  <c r="CX14" i="1"/>
  <c r="BO14" i="1"/>
  <c r="DN12" i="1"/>
  <c r="BP12" i="1"/>
  <c r="CX10" i="1"/>
  <c r="BO10" i="1"/>
  <c r="DF7" i="1"/>
  <c r="CS7" i="1"/>
  <c r="CX19" i="1"/>
  <c r="BO19" i="1"/>
  <c r="DF17" i="1"/>
  <c r="CS17" i="1"/>
  <c r="BP24" i="1"/>
  <c r="DN24" i="1"/>
  <c r="DN25" i="1"/>
  <c r="BP25" i="1"/>
  <c r="DN28" i="1"/>
  <c r="BP28" i="1"/>
  <c r="BO18" i="1"/>
  <c r="CX18" i="1"/>
  <c r="DN17" i="1"/>
  <c r="BP17" i="1"/>
  <c r="DN10" i="1"/>
  <c r="BP10" i="1"/>
  <c r="DX9" i="1"/>
  <c r="CA9" i="1"/>
  <c r="W10" i="1"/>
  <c r="BP23" i="1"/>
  <c r="DN23" i="1"/>
  <c r="CB7" i="1"/>
  <c r="DY7" i="1" s="1"/>
  <c r="X8" i="1"/>
  <c r="CS22" i="1"/>
  <c r="DF22" i="1"/>
  <c r="CX27" i="1"/>
  <c r="BO27" i="1"/>
  <c r="BO5" i="1"/>
  <c r="CX5" i="1"/>
  <c r="BP16" i="1"/>
  <c r="DN16" i="1"/>
  <c r="BO17" i="1"/>
  <c r="CX17" i="1"/>
  <c r="CE12" i="1"/>
  <c r="CY12" i="1"/>
  <c r="BQ12" i="1"/>
  <c r="CG12" i="1" s="1"/>
  <c r="BY9" i="1"/>
  <c r="DV9" i="1" s="1"/>
  <c r="U10" i="1"/>
  <c r="CX23" i="1"/>
  <c r="BO23" i="1"/>
  <c r="DF25" i="1"/>
  <c r="CS25" i="1"/>
  <c r="BO25" i="1"/>
  <c r="CS8" i="1"/>
  <c r="DF8" i="1"/>
  <c r="DJ14" i="1"/>
  <c r="BP14" i="1"/>
  <c r="BO9" i="1"/>
  <c r="CX9" i="1"/>
  <c r="CS10" i="1"/>
  <c r="DF10" i="1"/>
  <c r="BO6" i="1"/>
  <c r="CX6" i="1"/>
  <c r="DF26" i="1"/>
  <c r="CS26" i="1"/>
  <c r="DF27" i="1"/>
  <c r="CS27" i="1"/>
  <c r="BP19" i="1"/>
  <c r="DN19" i="1"/>
  <c r="BO7" i="1"/>
  <c r="CX7" i="1"/>
  <c r="BO21" i="1"/>
  <c r="CX21" i="1"/>
  <c r="BP6" i="1"/>
  <c r="DN6" i="1"/>
  <c r="BP8" i="1"/>
  <c r="DN8" i="1"/>
  <c r="CS9" i="1"/>
  <c r="DF9" i="1"/>
  <c r="CY13" i="1" l="1"/>
  <c r="BQ13" i="1"/>
  <c r="CG13" i="1" s="1"/>
  <c r="DO21" i="1"/>
  <c r="DO26" i="1"/>
  <c r="DO13" i="1"/>
  <c r="CY11" i="1"/>
  <c r="CY9" i="1"/>
  <c r="CE9" i="1"/>
  <c r="BQ9" i="1"/>
  <c r="CG9" i="1" s="1"/>
  <c r="BQ25" i="1"/>
  <c r="CG25" i="1" s="1"/>
  <c r="CY25" i="1"/>
  <c r="CE25" i="1"/>
  <c r="BQ27" i="1"/>
  <c r="CG27" i="1" s="1"/>
  <c r="CY27" i="1"/>
  <c r="CE27" i="1"/>
  <c r="W11" i="1"/>
  <c r="DX10" i="1"/>
  <c r="CA10" i="1"/>
  <c r="BQ18" i="1"/>
  <c r="CG18" i="1" s="1"/>
  <c r="CY18" i="1"/>
  <c r="CE18" i="1"/>
  <c r="CF5" i="1"/>
  <c r="DO5" i="1"/>
  <c r="CF22" i="1"/>
  <c r="DO22" i="1"/>
  <c r="DO8" i="1"/>
  <c r="CF8" i="1"/>
  <c r="BQ7" i="1"/>
  <c r="CG7" i="1" s="1"/>
  <c r="CY7" i="1"/>
  <c r="CE7" i="1"/>
  <c r="CF14" i="1"/>
  <c r="DO14" i="1"/>
  <c r="DO28" i="1"/>
  <c r="CF28" i="1"/>
  <c r="BQ19" i="1"/>
  <c r="CG19" i="1" s="1"/>
  <c r="CE19" i="1"/>
  <c r="CY19" i="1"/>
  <c r="BQ14" i="1"/>
  <c r="CG14" i="1" s="1"/>
  <c r="CE14" i="1"/>
  <c r="CY14" i="1"/>
  <c r="CF27" i="1"/>
  <c r="DO27" i="1"/>
  <c r="DO18" i="1"/>
  <c r="CF18" i="1"/>
  <c r="CF15" i="1"/>
  <c r="DO15" i="1"/>
  <c r="CY22" i="1"/>
  <c r="BQ22" i="1"/>
  <c r="CG22" i="1" s="1"/>
  <c r="CE22" i="1"/>
  <c r="DO9" i="1"/>
  <c r="CF9" i="1"/>
  <c r="CE16" i="1"/>
  <c r="BQ16" i="1"/>
  <c r="CG16" i="1" s="1"/>
  <c r="CY16" i="1"/>
  <c r="DO7" i="1"/>
  <c r="CF7" i="1"/>
  <c r="BQ23" i="1"/>
  <c r="CG23" i="1" s="1"/>
  <c r="CY23" i="1"/>
  <c r="CE23" i="1"/>
  <c r="BQ17" i="1"/>
  <c r="CG17" i="1" s="1"/>
  <c r="CY17" i="1"/>
  <c r="CE17" i="1"/>
  <c r="CF10" i="1"/>
  <c r="DO10" i="1"/>
  <c r="CF25" i="1"/>
  <c r="DO25" i="1"/>
  <c r="CY6" i="1"/>
  <c r="CE6" i="1"/>
  <c r="BQ6" i="1"/>
  <c r="CG6" i="1" s="1"/>
  <c r="CB8" i="1"/>
  <c r="DY8" i="1" s="1"/>
  <c r="X9" i="1"/>
  <c r="DO6" i="1"/>
  <c r="CF6" i="1"/>
  <c r="BY10" i="1"/>
  <c r="DV10" i="1" s="1"/>
  <c r="U11" i="1"/>
  <c r="CF16" i="1"/>
  <c r="DO16" i="1"/>
  <c r="DO17" i="1"/>
  <c r="CF17" i="1"/>
  <c r="CY10" i="1"/>
  <c r="CE10" i="1"/>
  <c r="BQ10" i="1"/>
  <c r="CG10" i="1" s="1"/>
  <c r="CE20" i="1"/>
  <c r="BQ20" i="1"/>
  <c r="CG20" i="1" s="1"/>
  <c r="CY20" i="1"/>
  <c r="CF11" i="1"/>
  <c r="DO11" i="1"/>
  <c r="BQ8" i="1"/>
  <c r="CG8" i="1" s="1"/>
  <c r="CY8" i="1"/>
  <c r="CE8" i="1"/>
  <c r="DO19" i="1"/>
  <c r="CF19" i="1"/>
  <c r="BQ11" i="1"/>
  <c r="CG11" i="1" s="1"/>
  <c r="DO24" i="1"/>
  <c r="CF24" i="1"/>
  <c r="DO20" i="1"/>
  <c r="CF20" i="1"/>
  <c r="CY26" i="1"/>
  <c r="CE26" i="1"/>
  <c r="BQ26" i="1"/>
  <c r="CG26" i="1" s="1"/>
  <c r="BZ9" i="1"/>
  <c r="DW9" i="1" s="1"/>
  <c r="V10" i="1"/>
  <c r="CY21" i="1"/>
  <c r="CE21" i="1"/>
  <c r="BQ21" i="1"/>
  <c r="CG21" i="1" s="1"/>
  <c r="BQ5" i="1"/>
  <c r="CG5" i="1" s="1"/>
  <c r="CE5" i="1"/>
  <c r="CY5" i="1"/>
  <c r="CF23" i="1"/>
  <c r="DO23" i="1"/>
  <c r="DO12" i="1"/>
  <c r="CF12" i="1"/>
  <c r="CE24" i="1"/>
  <c r="CY24" i="1"/>
  <c r="BQ24" i="1"/>
  <c r="CG24" i="1" s="1"/>
  <c r="BQ15" i="1"/>
  <c r="CG15" i="1" s="1"/>
  <c r="CY15" i="1"/>
  <c r="CE15" i="1"/>
  <c r="CE28" i="1"/>
  <c r="CY28" i="1"/>
  <c r="BQ28" i="1"/>
  <c r="CG28" i="1" s="1"/>
  <c r="CB9" i="1" l="1"/>
  <c r="DY9" i="1" s="1"/>
  <c r="X10" i="1"/>
  <c r="V11" i="1"/>
  <c r="BZ10" i="1"/>
  <c r="DW10" i="1" s="1"/>
  <c r="U12" i="1"/>
  <c r="BY11" i="1"/>
  <c r="DV11" i="1" s="1"/>
  <c r="DX11" i="1"/>
  <c r="CA11" i="1"/>
  <c r="W12" i="1"/>
  <c r="V12" i="1" l="1"/>
  <c r="BZ11" i="1"/>
  <c r="DW11" i="1" s="1"/>
  <c r="U13" i="1"/>
  <c r="BY12" i="1"/>
  <c r="DV12" i="1" s="1"/>
  <c r="CB10" i="1"/>
  <c r="DY10" i="1" s="1"/>
  <c r="X11" i="1"/>
  <c r="DX12" i="1"/>
  <c r="W13" i="1"/>
  <c r="CA12" i="1"/>
  <c r="V13" i="1" l="1"/>
  <c r="BZ12" i="1"/>
  <c r="DW12" i="1" s="1"/>
  <c r="X12" i="1"/>
  <c r="CB11" i="1"/>
  <c r="DY11" i="1" s="1"/>
  <c r="U14" i="1"/>
  <c r="BY13" i="1"/>
  <c r="DV13" i="1" s="1"/>
  <c r="W14" i="1"/>
  <c r="DX13" i="1"/>
  <c r="CA13" i="1"/>
  <c r="DX14" i="1" l="1"/>
  <c r="W15" i="1"/>
  <c r="CA14" i="1"/>
  <c r="V14" i="1"/>
  <c r="BZ13" i="1"/>
  <c r="DW13" i="1" s="1"/>
  <c r="BY14" i="1"/>
  <c r="DV14" i="1" s="1"/>
  <c r="U15" i="1"/>
  <c r="X13" i="1"/>
  <c r="CB12" i="1"/>
  <c r="DY12" i="1" s="1"/>
  <c r="X14" i="1" l="1"/>
  <c r="CB13" i="1"/>
  <c r="DY13" i="1" s="1"/>
  <c r="BZ14" i="1"/>
  <c r="DW14" i="1" s="1"/>
  <c r="V15" i="1"/>
  <c r="DX15" i="1"/>
  <c r="CA15" i="1"/>
  <c r="W16" i="1"/>
  <c r="U16" i="1"/>
  <c r="BY15" i="1"/>
  <c r="DV15" i="1" s="1"/>
  <c r="CB14" i="1" l="1"/>
  <c r="X15" i="1"/>
  <c r="U17" i="1"/>
  <c r="BY16" i="1"/>
  <c r="DV16" i="1" s="1"/>
  <c r="W17" i="1"/>
  <c r="CA16" i="1"/>
  <c r="DX16" i="1"/>
  <c r="V16" i="1"/>
  <c r="BZ15" i="1"/>
  <c r="DW15" i="1" s="1"/>
  <c r="BZ16" i="1" l="1"/>
  <c r="DW16" i="1" s="1"/>
  <c r="V17" i="1"/>
  <c r="DX17" i="1"/>
  <c r="W18" i="1"/>
  <c r="CA17" i="1"/>
  <c r="U18" i="1"/>
  <c r="BY17" i="1"/>
  <c r="DV17" i="1" s="1"/>
  <c r="X16" i="1"/>
  <c r="CB15" i="1"/>
  <c r="DY15" i="1" s="1"/>
  <c r="U19" i="1" l="1"/>
  <c r="BY18" i="1"/>
  <c r="DV18" i="1" s="1"/>
  <c r="X17" i="1"/>
  <c r="CB16" i="1"/>
  <c r="DY16" i="1" s="1"/>
  <c r="W19" i="1"/>
  <c r="CA18" i="1"/>
  <c r="DX18" i="1"/>
  <c r="BZ17" i="1"/>
  <c r="DW17" i="1" s="1"/>
  <c r="V18" i="1"/>
  <c r="U20" i="1" l="1"/>
  <c r="BY19" i="1"/>
  <c r="DV19" i="1" s="1"/>
  <c r="W20" i="1"/>
  <c r="CA19" i="1"/>
  <c r="DX19" i="1"/>
  <c r="X18" i="1"/>
  <c r="CB17" i="1"/>
  <c r="DY17" i="1" s="1"/>
  <c r="BZ18" i="1"/>
  <c r="DW18" i="1" s="1"/>
  <c r="V19" i="1"/>
  <c r="CB18" i="1" l="1"/>
  <c r="DY18" i="1" s="1"/>
  <c r="X19" i="1"/>
  <c r="CA20" i="1"/>
  <c r="DX20" i="1"/>
  <c r="W21" i="1"/>
  <c r="V20" i="1"/>
  <c r="BZ19" i="1"/>
  <c r="DW19" i="1" s="1"/>
  <c r="U21" i="1"/>
  <c r="BY20" i="1"/>
  <c r="DV20" i="1" s="1"/>
  <c r="U22" i="1" l="1"/>
  <c r="BY21" i="1"/>
  <c r="DV21" i="1" s="1"/>
  <c r="BZ20" i="1"/>
  <c r="DW20" i="1" s="1"/>
  <c r="V21" i="1"/>
  <c r="DX21" i="1"/>
  <c r="CA21" i="1"/>
  <c r="W22" i="1"/>
  <c r="X20" i="1"/>
  <c r="CB19" i="1"/>
  <c r="DY19" i="1" s="1"/>
  <c r="X21" i="1" l="1"/>
  <c r="CB20" i="1"/>
  <c r="DY20" i="1" s="1"/>
  <c r="W23" i="1"/>
  <c r="DX22" i="1"/>
  <c r="CA22" i="1"/>
  <c r="BZ21" i="1"/>
  <c r="DW21" i="1" s="1"/>
  <c r="V22" i="1"/>
  <c r="BY22" i="1"/>
  <c r="DV22" i="1" s="1"/>
  <c r="U23" i="1"/>
  <c r="DX23" i="1" l="1"/>
  <c r="CA23" i="1"/>
  <c r="W24" i="1"/>
  <c r="U24" i="1"/>
  <c r="BY23" i="1"/>
  <c r="DV23" i="1" s="1"/>
  <c r="X22" i="1"/>
  <c r="CB21" i="1"/>
  <c r="DY21" i="1" s="1"/>
  <c r="BZ22" i="1"/>
  <c r="DW22" i="1" s="1"/>
  <c r="V23" i="1"/>
  <c r="V24" i="1" l="1"/>
  <c r="BZ23" i="1"/>
  <c r="DW23" i="1" s="1"/>
  <c r="X23" i="1"/>
  <c r="CB22" i="1"/>
  <c r="DY22" i="1" s="1"/>
  <c r="U25" i="1"/>
  <c r="BY24" i="1"/>
  <c r="DV24" i="1" s="1"/>
  <c r="CA24" i="1"/>
  <c r="DX24" i="1"/>
  <c r="W25" i="1"/>
  <c r="CB23" i="1" l="1"/>
  <c r="DY23" i="1" s="1"/>
  <c r="X24" i="1"/>
  <c r="BY25" i="1"/>
  <c r="DV25" i="1" s="1"/>
  <c r="U26" i="1"/>
  <c r="DX25" i="1"/>
  <c r="W26" i="1"/>
  <c r="CA25" i="1"/>
  <c r="V25" i="1"/>
  <c r="BZ24" i="1"/>
  <c r="DW24" i="1" s="1"/>
  <c r="BZ25" i="1" l="1"/>
  <c r="DW25" i="1" s="1"/>
  <c r="V26" i="1"/>
  <c r="W27" i="1"/>
  <c r="DX26" i="1"/>
  <c r="CA26" i="1"/>
  <c r="BY26" i="1"/>
  <c r="DV26" i="1" s="1"/>
  <c r="U27" i="1"/>
  <c r="X25" i="1"/>
  <c r="CB24" i="1"/>
  <c r="DY24" i="1" s="1"/>
  <c r="DX27" i="1" l="1"/>
  <c r="W28" i="1"/>
  <c r="CA27" i="1"/>
  <c r="U28" i="1"/>
  <c r="BY28" i="1" s="1"/>
  <c r="DV28" i="1" s="1"/>
  <c r="BY27" i="1"/>
  <c r="DV27" i="1" s="1"/>
  <c r="X26" i="1"/>
  <c r="CB25" i="1"/>
  <c r="DY25" i="1" s="1"/>
  <c r="V27" i="1"/>
  <c r="BZ26" i="1"/>
  <c r="DW26" i="1" s="1"/>
  <c r="V28" i="1" l="1"/>
  <c r="BZ28" i="1" s="1"/>
  <c r="DW28" i="1" s="1"/>
  <c r="BZ27" i="1"/>
  <c r="DW27" i="1" s="1"/>
  <c r="X27" i="1"/>
  <c r="CB26" i="1"/>
  <c r="DY26" i="1" s="1"/>
  <c r="DX28" i="1"/>
  <c r="CA28" i="1"/>
  <c r="CB27" i="1" l="1"/>
  <c r="DY27" i="1" s="1"/>
  <c r="X28" i="1"/>
  <c r="CB28" i="1" s="1"/>
  <c r="DY28" i="1" s="1"/>
</calcChain>
</file>

<file path=xl/sharedStrings.xml><?xml version="1.0" encoding="utf-8"?>
<sst xmlns="http://schemas.openxmlformats.org/spreadsheetml/2006/main" count="400" uniqueCount="240">
  <si>
    <t>Mrs</t>
  </si>
  <si>
    <t>NCHANJI ELEXINE BONGABI</t>
  </si>
  <si>
    <t>Class 3B</t>
  </si>
  <si>
    <t>068/Elites/23</t>
  </si>
  <si>
    <t>330-1042199-8</t>
  </si>
  <si>
    <t>NDONGA-MANTUNG</t>
  </si>
  <si>
    <t>NGAIKADA</t>
  </si>
  <si>
    <t>Maried</t>
  </si>
  <si>
    <t>CAPIEM</t>
  </si>
  <si>
    <t>A-LEVEL</t>
  </si>
  <si>
    <t>SHU FUHNWI KELLY</t>
  </si>
  <si>
    <t>Class 1 B</t>
  </si>
  <si>
    <t>Class 1A</t>
  </si>
  <si>
    <t>045/Elites/21</t>
  </si>
  <si>
    <t>330-1037779-4</t>
  </si>
  <si>
    <t>MEZAM</t>
  </si>
  <si>
    <t>ITALY</t>
  </si>
  <si>
    <t>Célibataire</t>
  </si>
  <si>
    <t>O-LEVEL</t>
  </si>
  <si>
    <t>NGOMBA MANDE GERTRUDE</t>
  </si>
  <si>
    <t>Class 2 B</t>
  </si>
  <si>
    <t>Class 1B</t>
  </si>
  <si>
    <t>P099516393493P</t>
  </si>
  <si>
    <t>040/Elites/21</t>
  </si>
  <si>
    <t>330-1037783-6</t>
  </si>
  <si>
    <t>NDIAN</t>
  </si>
  <si>
    <t xml:space="preserve">Mr </t>
  </si>
  <si>
    <t>NGEE LINUS</t>
  </si>
  <si>
    <t>Class 2 A</t>
  </si>
  <si>
    <t>Class 2A</t>
  </si>
  <si>
    <t>,</t>
  </si>
  <si>
    <t>017/Elites/18</t>
  </si>
  <si>
    <t>330-1028788-6</t>
  </si>
  <si>
    <t>BUI</t>
  </si>
  <si>
    <t>ELITES</t>
  </si>
  <si>
    <t>PASCALINE MBONGEH</t>
  </si>
  <si>
    <t>Class 1 A</t>
  </si>
  <si>
    <t>Class 2B</t>
  </si>
  <si>
    <t>P128513413951C</t>
  </si>
  <si>
    <t>018/Elites/18</t>
  </si>
  <si>
    <t>330-1028789-4</t>
  </si>
  <si>
    <t>Mr</t>
  </si>
  <si>
    <t>JOEL NGALA NGWA</t>
  </si>
  <si>
    <t>Class 5B</t>
  </si>
  <si>
    <t>062/Elites/23</t>
  </si>
  <si>
    <t>330-1042195-6</t>
  </si>
  <si>
    <t>KANO</t>
  </si>
  <si>
    <t>MANGEH SANDRINE</t>
  </si>
  <si>
    <t>Class 3A</t>
  </si>
  <si>
    <t>054/Elites/22</t>
  </si>
  <si>
    <t>330-1040827-6</t>
  </si>
  <si>
    <t>HND</t>
  </si>
  <si>
    <t>TENDONGMOH DELPHINE</t>
  </si>
  <si>
    <t xml:space="preserve"> </t>
  </si>
  <si>
    <t>Class 4A</t>
  </si>
  <si>
    <t>041/Elites/21</t>
  </si>
  <si>
    <t>327-1039972-3</t>
  </si>
  <si>
    <t>LEBIALEM</t>
  </si>
  <si>
    <t>AZONGOKOH SUZAN EGOFU</t>
  </si>
  <si>
    <t>Class 4B</t>
  </si>
  <si>
    <t>063/Elites/23</t>
  </si>
  <si>
    <t>330-1029471-8</t>
  </si>
  <si>
    <t>MOMO</t>
  </si>
  <si>
    <t>TFUMGAH TUME EDITH</t>
  </si>
  <si>
    <t>Class 5 A &amp; assistant pedagogic supervisor Anglophone primary</t>
  </si>
  <si>
    <t>Class 5A</t>
  </si>
  <si>
    <t>P108413831011D</t>
  </si>
  <si>
    <t>031/Elites/20</t>
  </si>
  <si>
    <t>410-1035356-3</t>
  </si>
  <si>
    <t>MONOU2</t>
  </si>
  <si>
    <t>Mariée</t>
  </si>
  <si>
    <t>LICENCE</t>
  </si>
  <si>
    <t>NGWA PAUL NSOH</t>
  </si>
  <si>
    <t>Academic supervisor</t>
  </si>
  <si>
    <t>Class 6B</t>
  </si>
  <si>
    <t>P109013413308J</t>
  </si>
  <si>
    <t>021/Elites/18</t>
  </si>
  <si>
    <t>330-1028779-5</t>
  </si>
  <si>
    <t>FRU DIDIER ACHIRI</t>
  </si>
  <si>
    <t>Class 6 A</t>
  </si>
  <si>
    <t>Class 6A</t>
  </si>
  <si>
    <t>P069516367802L</t>
  </si>
  <si>
    <t>030/Elites/20</t>
  </si>
  <si>
    <t>330-1034524-7</t>
  </si>
  <si>
    <t>A-LEVEL+2</t>
  </si>
  <si>
    <t>Mlle</t>
  </si>
  <si>
    <t>BOIGA DJANABOU</t>
  </si>
  <si>
    <t>SIL-A</t>
  </si>
  <si>
    <t>057/Elites/22</t>
  </si>
  <si>
    <t>330-1040822-7</t>
  </si>
  <si>
    <t>FARO</t>
  </si>
  <si>
    <t>LICENCE GEO</t>
  </si>
  <si>
    <t>AGOIUD NANGA LETICIA</t>
  </si>
  <si>
    <t>SIL-B</t>
  </si>
  <si>
    <t>064/Elites/23</t>
  </si>
  <si>
    <t>329-0023045-8</t>
  </si>
  <si>
    <t>HAUT-NYONG</t>
  </si>
  <si>
    <t>MELIGUI ORAL ROBERT</t>
  </si>
  <si>
    <t>CP-A</t>
  </si>
  <si>
    <t>058/Elites/22</t>
  </si>
  <si>
    <t>332-1015196-7</t>
  </si>
  <si>
    <t>BOUMBA ET NGOKO</t>
  </si>
  <si>
    <t>YADIA</t>
  </si>
  <si>
    <t>BEPC</t>
  </si>
  <si>
    <t>KESSE DORIS</t>
  </si>
  <si>
    <t>CP-B</t>
  </si>
  <si>
    <t>065/Elites/23</t>
  </si>
  <si>
    <t>330-1042198-0</t>
  </si>
  <si>
    <t>TIGAZA</t>
  </si>
  <si>
    <t>BACC</t>
  </si>
  <si>
    <t>LOAKE LOAKE SYLVERE DARIOT</t>
  </si>
  <si>
    <t>CE1-A</t>
  </si>
  <si>
    <t>015/Elites/18</t>
  </si>
  <si>
    <t>330-1028782-9</t>
  </si>
  <si>
    <t>EGLISE EMMA</t>
  </si>
  <si>
    <t>CAPIEMP</t>
  </si>
  <si>
    <t>NDZAKOMO LYDIE épse BENGONO</t>
  </si>
  <si>
    <t>CE1-B</t>
  </si>
  <si>
    <t>020/Elites/18</t>
  </si>
  <si>
    <t>330-1028785-2</t>
  </si>
  <si>
    <t>MEFOU AFAMBA</t>
  </si>
  <si>
    <t>ENIA</t>
  </si>
  <si>
    <t>BREVET</t>
  </si>
  <si>
    <t>MUMENG PRUDENCIA NDZI</t>
  </si>
  <si>
    <t>CE2-B</t>
  </si>
  <si>
    <t>CE2-A</t>
  </si>
  <si>
    <t>P047913433609Z</t>
  </si>
  <si>
    <t>033/Elites/20</t>
  </si>
  <si>
    <t>357-1031728-7</t>
  </si>
  <si>
    <t>LOM &amp; DJEREM</t>
  </si>
  <si>
    <t>SAIDOU HAMAN</t>
  </si>
  <si>
    <t>036/Elites/20</t>
  </si>
  <si>
    <t>330-1036346-3</t>
  </si>
  <si>
    <t>DIAMARE</t>
  </si>
  <si>
    <t>TOUNGOU</t>
  </si>
  <si>
    <t>PROBATOIRE</t>
  </si>
  <si>
    <t>DJATOTE PAULINE CLARISSE</t>
  </si>
  <si>
    <t>CM1-A</t>
  </si>
  <si>
    <t>059/Elites/22</t>
  </si>
  <si>
    <t>330-1040125-5</t>
  </si>
  <si>
    <t>KADEY</t>
  </si>
  <si>
    <t>KPOKLOTA</t>
  </si>
  <si>
    <t>Celibataire</t>
  </si>
  <si>
    <t>WAFFO OLGA FLORE</t>
  </si>
  <si>
    <t>CM1-B</t>
  </si>
  <si>
    <t>066/Elites/23</t>
  </si>
  <si>
    <t>330-1042200-4</t>
  </si>
  <si>
    <t>KOUNG-KI</t>
  </si>
  <si>
    <t>COTE D'AZUR</t>
  </si>
  <si>
    <t>Mme</t>
  </si>
  <si>
    <t>YAKA ELOBE MICHAEL</t>
  </si>
  <si>
    <t>CM-2B</t>
  </si>
  <si>
    <t>056/Elites/22</t>
  </si>
  <si>
    <t>357-1032288-1</t>
  </si>
  <si>
    <t>MOUNGO</t>
  </si>
  <si>
    <t>mère Poule</t>
  </si>
  <si>
    <t>BACC A4</t>
  </si>
  <si>
    <t>MPOLENGUE WYSTRIDE</t>
  </si>
  <si>
    <t>CM2</t>
  </si>
  <si>
    <t>CM2-A</t>
  </si>
  <si>
    <t>028/Elites/20</t>
  </si>
  <si>
    <t>330-1034530-4</t>
  </si>
  <si>
    <t>TKC</t>
  </si>
  <si>
    <t>BACC+1</t>
  </si>
  <si>
    <t>#</t>
  </si>
  <si>
    <t>Compte d'emploi impôt du mois de:</t>
  </si>
  <si>
    <t>Compte d'emploi CNPS du mois de:</t>
  </si>
  <si>
    <t>MISE EN PLACE DU PERSONNEL 2023 - 2024 GLOBAL STAFF STATUS</t>
  </si>
  <si>
    <t>Part Salariale / worker participation</t>
  </si>
  <si>
    <t>Part Patronale / employer contribution</t>
  </si>
  <si>
    <t>Compte d'emploi salaire du mois de:</t>
  </si>
  <si>
    <t>Part salarial</t>
  </si>
  <si>
    <t>Part patronale</t>
  </si>
  <si>
    <t>Compte d'emploi SALAIRES ET AMICALE ELITES du mois de:</t>
  </si>
  <si>
    <t>N°</t>
  </si>
  <si>
    <t>Civilité</t>
  </si>
  <si>
    <t>Teachers name /
 NOMS DES ENSEIGNANTS</t>
  </si>
  <si>
    <t>Duty poste 2021</t>
  </si>
  <si>
    <t>Affectations 
Duty post</t>
  </si>
  <si>
    <t>Numéro unique</t>
  </si>
  <si>
    <t>Matricules</t>
  </si>
  <si>
    <t>N°CNPS</t>
  </si>
  <si>
    <t>Births</t>
  </si>
  <si>
    <t>Date Start</t>
  </si>
  <si>
    <t>Date end</t>
  </si>
  <si>
    <t>Date retraite</t>
  </si>
  <si>
    <t>Division of Origine</t>
  </si>
  <si>
    <t>Residence</t>
  </si>
  <si>
    <t>ORANGE</t>
  </si>
  <si>
    <t>MTN</t>
  </si>
  <si>
    <t>Married?</t>
  </si>
  <si>
    <t>NB children &lt;21yrs</t>
  </si>
  <si>
    <t>Diplôme
Prof</t>
  </si>
  <si>
    <t>Diplôme
Academic</t>
  </si>
  <si>
    <t>Date Month start</t>
  </si>
  <si>
    <t>Date month end</t>
  </si>
  <si>
    <t>Working days month</t>
  </si>
  <si>
    <t>Days work</t>
  </si>
  <si>
    <t>Counter compteur</t>
  </si>
  <si>
    <t>Longivity years</t>
  </si>
  <si>
    <t>Longivity Month</t>
  </si>
  <si>
    <t>Basic salary</t>
  </si>
  <si>
    <t>Longivity bonus</t>
  </si>
  <si>
    <t>Total taxable</t>
  </si>
  <si>
    <t>Comm</t>
  </si>
  <si>
    <t>Transport Bonus</t>
  </si>
  <si>
    <t>Recherche &amp; leçon/ Recherche &amp; lesson</t>
  </si>
  <si>
    <t>Prime performance Bonus</t>
  </si>
  <si>
    <t>Total bonus</t>
  </si>
  <si>
    <t xml:space="preserve">Total brut Salary </t>
  </si>
  <si>
    <t xml:space="preserve">G. Total Salary </t>
  </si>
  <si>
    <t xml:space="preserve"> Last year 2021-2022 </t>
  </si>
  <si>
    <t xml:space="preserve"> this year 2022-2023 </t>
  </si>
  <si>
    <t>Increased</t>
  </si>
  <si>
    <t>CATEGORIE</t>
  </si>
  <si>
    <t>IRPP (Impôt)</t>
  </si>
  <si>
    <t>Taxe de dév local (Impôt)</t>
  </si>
  <si>
    <t>Credit Foncier du C (Impôt)</t>
  </si>
  <si>
    <t>Fond National Emploi (Impôt)</t>
  </si>
  <si>
    <t>Total impôt Salariale</t>
  </si>
  <si>
    <t>CNPS Pension vieillesse</t>
  </si>
  <si>
    <t>CNPS Allocation familiale</t>
  </si>
  <si>
    <t>CNPS Accident de travail</t>
  </si>
  <si>
    <t>Total CNPS salariale</t>
  </si>
  <si>
    <t>Total impôt patronale</t>
  </si>
  <si>
    <t>Total CNPS patronale</t>
  </si>
  <si>
    <t>G. Total Taxe/ impôt</t>
  </si>
  <si>
    <t>G. Total CNPS</t>
  </si>
  <si>
    <t>Total contribution</t>
  </si>
  <si>
    <t>Total monthly fixe salary</t>
  </si>
  <si>
    <t>This month salary</t>
  </si>
  <si>
    <t>Loan out</t>
  </si>
  <si>
    <t>Njangi</t>
  </si>
  <si>
    <t>Raff</t>
  </si>
  <si>
    <t>Lateness</t>
  </si>
  <si>
    <t>Absence</t>
  </si>
  <si>
    <t>Total take home</t>
  </si>
  <si>
    <t>31/04/2024</t>
  </si>
  <si>
    <t>#####</t>
  </si>
  <si>
    <t>This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</si>
</sst>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\ _€_-;\-* #,##0\ _€_-;_-* &quot;-&quot;\ _€_-;_-@_-"/>
    <numFmt numFmtId="164" formatCode="_-* #,##0\ _F_C_F_A_-;\-* #,##0\ _F_C_F_A_-;_-* &quot;-&quot;\ _F_C_F_A_-;_-@_-"/>
    <numFmt numFmtId="165" formatCode="_-* #,##0.0\ _F_C_F_A_-;\-* #,##0.0\ _F_C_F_A_-;_-* &quot;-&quot;\ _F_C_F_A_-;_-@_-"/>
    <numFmt numFmtId="166" formatCode="d/m/yy;@"/>
    <numFmt numFmtId="167" formatCode="#,##0_ ;\-#,##0\ "/>
    <numFmt numFmtId="168" formatCode="[$-40C]d\-mmm;@"/>
    <numFmt numFmtId="172" formatCode="[$-40C]d\-mmm\-yy;@"/>
    <numFmt numFmtId="173" formatCode="dd/mm/yy;@"/>
  </numFmts>
  <fonts count="26">
    <font>
      <sz val="11"/>
      <color theme="1"/>
      <name val="Calibri"/>
      <family val="2"/>
      <scheme val="minor"/>
    </font>
    <font>
      <b/>
      <sz val="11"/>
      <name val="Arial Black"/>
      <family val="2"/>
    </font>
    <font>
      <b/>
      <sz val="11"/>
      <name val="Arial"/>
      <family val="2"/>
    </font>
    <font>
      <b/>
      <sz val="10"/>
      <name val="Arial Black"/>
      <family val="2"/>
    </font>
    <font>
      <b/>
      <sz val="14"/>
      <name val="Arial Black"/>
      <family val="2"/>
    </font>
    <font>
      <b/>
      <sz val="9"/>
      <name val="Arial Black"/>
      <family val="2"/>
    </font>
    <font>
      <sz val="11"/>
      <name val="Arial Black"/>
      <family val="2"/>
    </font>
    <font>
      <sz val="10"/>
      <name val="Arial Black"/>
      <family val="2"/>
    </font>
    <font>
      <sz val="12"/>
      <name val="Arial Black"/>
      <family val="2"/>
    </font>
    <font>
      <b/>
      <sz val="14"/>
      <name val="Arial Narrow"/>
      <family val="2"/>
    </font>
    <font>
      <b/>
      <sz val="14"/>
      <name val="Arial"/>
      <family val="2"/>
    </font>
    <font>
      <b/>
      <sz val="11"/>
      <name val="Arial Narrow"/>
      <family val="2"/>
    </font>
    <font>
      <sz val="22"/>
      <name val="Arial Black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name val="Arial Black"/>
      <family val="2"/>
    </font>
    <font>
      <sz val="9"/>
      <name val="Arial Black"/>
      <family val="2"/>
    </font>
    <font>
      <b/>
      <sz val="11"/>
      <color rgb="FFC00000"/>
      <name val="Arial Rounded MT Bold"/>
      <family val="2"/>
    </font>
    <font>
      <b/>
      <sz val="11"/>
      <color rgb="FF000000"/>
      <name val="Arial Rounded MT Bold"/>
      <family val="2"/>
    </font>
    <font>
      <sz val="18"/>
      <name val="Arial Black"/>
      <family val="2"/>
    </font>
    <font>
      <b/>
      <sz val="9"/>
      <color rgb="FF7030A0"/>
      <name val="Arial Black"/>
      <family val="2"/>
    </font>
    <font>
      <b/>
      <sz val="8"/>
      <color rgb="FF7030A0"/>
      <name val="Arial Black"/>
      <family val="2"/>
    </font>
    <font>
      <b/>
      <sz val="14"/>
      <color rgb="FF7030A0"/>
      <name val="Arial Black"/>
      <family val="2"/>
    </font>
    <font>
      <sz val="9"/>
      <color rgb="FF7030A0"/>
      <name val="Arial Black"/>
      <family val="2"/>
    </font>
    <font>
      <sz val="9"/>
      <color rgb="FFC00000"/>
      <name val="Arial Black"/>
      <family val="2"/>
    </font>
    <font>
      <b/>
      <sz val="7"/>
      <name val="Arial Black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8CBAD"/>
        <bgColor rgb="FF000000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rgb="FF000000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medium">
        <color rgb="FF000000"/>
      </right>
      <top style="thick">
        <color indexed="64"/>
      </top>
      <bottom style="thin">
        <color indexed="64"/>
      </bottom>
      <diagonal/>
    </border>
    <border>
      <left/>
      <right style="thick">
        <color rgb="FF000000"/>
      </right>
      <top style="thick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rgb="FF000000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rgb="FF000000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/>
      <top style="thick">
        <color indexed="64"/>
      </top>
      <bottom style="thin">
        <color indexed="64"/>
      </bottom>
      <diagonal/>
    </border>
    <border>
      <left style="thick">
        <color rgb="FF000000"/>
      </left>
      <right/>
      <top style="thick">
        <color indexed="64"/>
      </top>
      <bottom style="medium">
        <color indexed="64"/>
      </bottom>
      <diagonal/>
    </border>
    <border>
      <left style="thick">
        <color rgb="FF000000"/>
      </left>
      <right/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0">
    <xf numFmtId="0" fontId="0" fillId="0" borderId="0" xfId="0"/>
    <xf numFmtId="41" fontId="1" fillId="2" borderId="1" xfId="0" applyNumberFormat="1" applyFont="1" applyFill="1" applyBorder="1" applyAlignment="1">
      <alignment horizontal="left" vertical="center"/>
    </xf>
    <xf numFmtId="41" fontId="2" fillId="2" borderId="1" xfId="0" applyNumberFormat="1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left" vertical="center"/>
    </xf>
    <xf numFmtId="1" fontId="1" fillId="3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left" vertical="center"/>
    </xf>
    <xf numFmtId="14" fontId="1" fillId="3" borderId="2" xfId="0" applyNumberFormat="1" applyFont="1" applyFill="1" applyBorder="1" applyAlignment="1">
      <alignment horizontal="left" vertical="center"/>
    </xf>
    <xf numFmtId="14" fontId="1" fillId="3" borderId="3" xfId="0" applyNumberFormat="1" applyFont="1" applyFill="1" applyBorder="1" applyAlignment="1">
      <alignment horizontal="left" vertical="center"/>
    </xf>
    <xf numFmtId="1" fontId="1" fillId="3" borderId="1" xfId="0" applyNumberFormat="1" applyFont="1" applyFill="1" applyBorder="1" applyAlignment="1">
      <alignment horizontal="center" wrapText="1"/>
    </xf>
    <xf numFmtId="164" fontId="3" fillId="3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1" fontId="1" fillId="3" borderId="3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left" vertical="center" wrapText="1"/>
    </xf>
    <xf numFmtId="164" fontId="1" fillId="3" borderId="4" xfId="0" applyNumberFormat="1" applyFont="1" applyFill="1" applyBorder="1" applyAlignment="1">
      <alignment horizontal="left" vertical="center" wrapText="1"/>
    </xf>
    <xf numFmtId="166" fontId="6" fillId="3" borderId="1" xfId="0" applyNumberFormat="1" applyFont="1" applyFill="1" applyBorder="1" applyAlignment="1">
      <alignment horizontal="center" vertical="center"/>
    </xf>
    <xf numFmtId="167" fontId="6" fillId="3" borderId="1" xfId="0" applyNumberFormat="1" applyFont="1" applyFill="1" applyBorder="1" applyAlignment="1">
      <alignment horizontal="center" vertical="center"/>
    </xf>
    <xf numFmtId="167" fontId="6" fillId="3" borderId="2" xfId="0" applyNumberFormat="1" applyFont="1" applyFill="1" applyBorder="1" applyAlignment="1">
      <alignment horizontal="center" vertical="center"/>
    </xf>
    <xf numFmtId="167" fontId="6" fillId="3" borderId="7" xfId="0" applyNumberFormat="1" applyFont="1" applyFill="1" applyBorder="1" applyAlignment="1">
      <alignment horizontal="center" vertical="center"/>
    </xf>
    <xf numFmtId="167" fontId="7" fillId="3" borderId="8" xfId="0" applyNumberFormat="1" applyFont="1" applyFill="1" applyBorder="1" applyAlignment="1">
      <alignment horizontal="center" vertical="center"/>
    </xf>
    <xf numFmtId="167" fontId="7" fillId="3" borderId="6" xfId="0" applyNumberFormat="1" applyFont="1" applyFill="1" applyBorder="1" applyAlignment="1">
      <alignment horizontal="center" vertical="center"/>
    </xf>
    <xf numFmtId="167" fontId="7" fillId="3" borderId="1" xfId="0" applyNumberFormat="1" applyFont="1" applyFill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64" fontId="1" fillId="3" borderId="2" xfId="0" applyNumberFormat="1" applyFont="1" applyFill="1" applyBorder="1" applyAlignment="1">
      <alignment horizontal="left" vertical="center" wrapText="1"/>
    </xf>
    <xf numFmtId="167" fontId="6" fillId="3" borderId="8" xfId="0" applyNumberFormat="1" applyFont="1" applyFill="1" applyBorder="1" applyAlignment="1">
      <alignment horizontal="center" vertical="center"/>
    </xf>
    <xf numFmtId="167" fontId="6" fillId="3" borderId="6" xfId="0" applyNumberFormat="1" applyFont="1" applyFill="1" applyBorder="1" applyAlignment="1">
      <alignment horizontal="center" vertical="center"/>
    </xf>
    <xf numFmtId="164" fontId="1" fillId="3" borderId="9" xfId="0" applyNumberFormat="1" applyFont="1" applyFill="1" applyBorder="1" applyAlignment="1">
      <alignment horizontal="center" vertical="center" wrapText="1"/>
    </xf>
    <xf numFmtId="164" fontId="1" fillId="3" borderId="2" xfId="0" applyNumberFormat="1" applyFont="1" applyFill="1" applyBorder="1" applyAlignment="1">
      <alignment horizontal="center" vertical="center" wrapText="1"/>
    </xf>
    <xf numFmtId="164" fontId="1" fillId="3" borderId="7" xfId="0" applyNumberFormat="1" applyFont="1" applyFill="1" applyBorder="1" applyAlignment="1">
      <alignment horizontal="left" vertical="center" wrapText="1"/>
    </xf>
    <xf numFmtId="164" fontId="6" fillId="3" borderId="8" xfId="0" applyNumberFormat="1" applyFont="1" applyFill="1" applyBorder="1" applyAlignment="1">
      <alignment horizontal="center" vertical="center" wrapText="1"/>
    </xf>
    <xf numFmtId="164" fontId="6" fillId="3" borderId="6" xfId="0" applyNumberFormat="1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164" fontId="1" fillId="3" borderId="4" xfId="0" applyNumberFormat="1" applyFont="1" applyFill="1" applyBorder="1" applyAlignment="1">
      <alignment horizontal="center" vertical="center" wrapText="1"/>
    </xf>
    <xf numFmtId="164" fontId="1" fillId="3" borderId="5" xfId="0" applyNumberFormat="1" applyFont="1" applyFill="1" applyBorder="1" applyAlignment="1">
      <alignment horizontal="center" vertical="center" wrapText="1"/>
    </xf>
    <xf numFmtId="1" fontId="1" fillId="3" borderId="7" xfId="0" applyNumberFormat="1" applyFont="1" applyFill="1" applyBorder="1" applyAlignment="1">
      <alignment horizontal="center" vertical="center" wrapText="1"/>
    </xf>
    <xf numFmtId="164" fontId="1" fillId="3" borderId="8" xfId="0" applyNumberFormat="1" applyFont="1" applyFill="1" applyBorder="1" applyAlignment="1">
      <alignment horizontal="left" vertical="center" wrapText="1"/>
    </xf>
    <xf numFmtId="168" fontId="1" fillId="3" borderId="7" xfId="0" applyNumberFormat="1" applyFont="1" applyFill="1" applyBorder="1" applyAlignment="1">
      <alignment horizontal="left" vertical="center" wrapText="1"/>
    </xf>
    <xf numFmtId="168" fontId="1" fillId="3" borderId="1" xfId="0" applyNumberFormat="1" applyFont="1" applyFill="1" applyBorder="1" applyAlignment="1">
      <alignment horizontal="left" vertical="center" wrapText="1"/>
    </xf>
    <xf numFmtId="167" fontId="1" fillId="3" borderId="1" xfId="0" applyNumberFormat="1" applyFont="1" applyFill="1" applyBorder="1" applyAlignment="1">
      <alignment horizontal="left" vertical="center" wrapText="1"/>
    </xf>
    <xf numFmtId="167" fontId="8" fillId="3" borderId="1" xfId="0" applyNumberFormat="1" applyFont="1" applyFill="1" applyBorder="1" applyAlignment="1">
      <alignment horizontal="center" vertical="center" wrapText="1"/>
    </xf>
    <xf numFmtId="167" fontId="6" fillId="3" borderId="1" xfId="0" applyNumberFormat="1" applyFont="1" applyFill="1" applyBorder="1" applyAlignment="1">
      <alignment horizontal="center" vertical="center" wrapText="1"/>
    </xf>
    <xf numFmtId="167" fontId="8" fillId="2" borderId="1" xfId="0" applyNumberFormat="1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left" vertical="center"/>
    </xf>
    <xf numFmtId="14" fontId="1" fillId="2" borderId="3" xfId="0" applyNumberFormat="1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164" fontId="1" fillId="2" borderId="4" xfId="0" applyNumberFormat="1" applyFont="1" applyFill="1" applyBorder="1" applyAlignment="1">
      <alignment horizontal="left" vertical="center" wrapText="1"/>
    </xf>
    <xf numFmtId="166" fontId="6" fillId="2" borderId="1" xfId="0" applyNumberFormat="1" applyFont="1" applyFill="1" applyBorder="1" applyAlignment="1">
      <alignment horizontal="center" vertical="center"/>
    </xf>
    <xf numFmtId="167" fontId="6" fillId="2" borderId="1" xfId="0" applyNumberFormat="1" applyFont="1" applyFill="1" applyBorder="1" applyAlignment="1">
      <alignment horizontal="center" vertical="center"/>
    </xf>
    <xf numFmtId="167" fontId="6" fillId="2" borderId="2" xfId="0" applyNumberFormat="1" applyFont="1" applyFill="1" applyBorder="1" applyAlignment="1">
      <alignment horizontal="center" vertical="center"/>
    </xf>
    <xf numFmtId="167" fontId="6" fillId="2" borderId="7" xfId="0" applyNumberFormat="1" applyFont="1" applyFill="1" applyBorder="1" applyAlignment="1">
      <alignment horizontal="center" vertical="center"/>
    </xf>
    <xf numFmtId="167" fontId="6" fillId="2" borderId="8" xfId="0" applyNumberFormat="1" applyFont="1" applyFill="1" applyBorder="1" applyAlignment="1">
      <alignment horizontal="center" vertical="center"/>
    </xf>
    <xf numFmtId="167" fontId="6" fillId="2" borderId="6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left" vertical="center" wrapText="1"/>
    </xf>
    <xf numFmtId="164" fontId="1" fillId="2" borderId="9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7" xfId="0" applyNumberFormat="1" applyFont="1" applyFill="1" applyBorder="1" applyAlignment="1">
      <alignment horizontal="left" vertical="center" wrapText="1"/>
    </xf>
    <xf numFmtId="164" fontId="6" fillId="2" borderId="8" xfId="0" applyNumberFormat="1" applyFont="1" applyFill="1" applyBorder="1" applyAlignment="1">
      <alignment horizontal="center" vertical="center" wrapText="1"/>
    </xf>
    <xf numFmtId="164" fontId="6" fillId="2" borderId="6" xfId="0" applyNumberFormat="1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1" fontId="1" fillId="2" borderId="7" xfId="0" applyNumberFormat="1" applyFont="1" applyFill="1" applyBorder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left" vertical="center" wrapText="1"/>
    </xf>
    <xf numFmtId="168" fontId="1" fillId="2" borderId="7" xfId="0" applyNumberFormat="1" applyFont="1" applyFill="1" applyBorder="1" applyAlignment="1">
      <alignment horizontal="left" vertical="center" wrapText="1"/>
    </xf>
    <xf numFmtId="168" fontId="1" fillId="2" borderId="1" xfId="0" applyNumberFormat="1" applyFont="1" applyFill="1" applyBorder="1" applyAlignment="1">
      <alignment horizontal="left" vertical="center" wrapText="1"/>
    </xf>
    <xf numFmtId="167" fontId="1" fillId="2" borderId="1" xfId="0" applyNumberFormat="1" applyFont="1" applyFill="1" applyBorder="1" applyAlignment="1">
      <alignment horizontal="left" vertical="center" wrapText="1"/>
    </xf>
    <xf numFmtId="167" fontId="6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4" borderId="10" xfId="0" applyFont="1" applyFill="1" applyBorder="1" applyAlignment="1">
      <alignment vertical="center"/>
    </xf>
    <xf numFmtId="0" fontId="12" fillId="4" borderId="11" xfId="0" applyFont="1" applyFill="1" applyBorder="1" applyAlignment="1">
      <alignment vertical="center"/>
    </xf>
    <xf numFmtId="0" fontId="6" fillId="0" borderId="0" xfId="0" applyFont="1"/>
    <xf numFmtId="0" fontId="6" fillId="4" borderId="12" xfId="0" applyFont="1" applyFill="1" applyBorder="1" applyAlignment="1">
      <alignment vertical="center"/>
    </xf>
    <xf numFmtId="0" fontId="13" fillId="0" borderId="0" xfId="0" applyFont="1"/>
    <xf numFmtId="0" fontId="14" fillId="0" borderId="0" xfId="0" applyFont="1"/>
    <xf numFmtId="0" fontId="6" fillId="0" borderId="0" xfId="0" applyFont="1" applyAlignment="1">
      <alignment vertical="center"/>
    </xf>
    <xf numFmtId="1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15" fillId="0" borderId="0" xfId="0" applyFont="1"/>
    <xf numFmtId="164" fontId="16" fillId="0" borderId="0" xfId="0" applyNumberFormat="1" applyFont="1"/>
    <xf numFmtId="0" fontId="6" fillId="4" borderId="18" xfId="0" applyFont="1" applyFill="1" applyBorder="1" applyAlignment="1">
      <alignment vertical="center"/>
    </xf>
    <xf numFmtId="0" fontId="6" fillId="4" borderId="10" xfId="0" applyFont="1" applyFill="1" applyBorder="1" applyAlignment="1">
      <alignment vertical="center"/>
    </xf>
    <xf numFmtId="0" fontId="6" fillId="4" borderId="11" xfId="0" applyFont="1" applyFill="1" applyBorder="1" applyAlignment="1">
      <alignment vertical="center"/>
    </xf>
    <xf numFmtId="0" fontId="6" fillId="4" borderId="18" xfId="0" applyFont="1" applyFill="1" applyBorder="1" applyAlignment="1">
      <alignment vertical="center" wrapText="1"/>
    </xf>
    <xf numFmtId="0" fontId="13" fillId="0" borderId="19" xfId="0" applyFont="1" applyBorder="1"/>
    <xf numFmtId="0" fontId="6" fillId="4" borderId="21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19" fillId="4" borderId="22" xfId="0" applyFont="1" applyFill="1" applyBorder="1" applyAlignment="1">
      <alignment vertical="center"/>
    </xf>
    <xf numFmtId="0" fontId="19" fillId="4" borderId="12" xfId="0" applyFont="1" applyFill="1" applyBorder="1" applyAlignment="1">
      <alignment vertical="center"/>
    </xf>
    <xf numFmtId="0" fontId="6" fillId="6" borderId="23" xfId="0" applyFont="1" applyFill="1" applyBorder="1" applyAlignment="1">
      <alignment horizontal="center" vertical="center" wrapText="1"/>
    </xf>
    <xf numFmtId="0" fontId="2" fillId="6" borderId="24" xfId="0" applyFont="1" applyFill="1" applyBorder="1" applyAlignment="1">
      <alignment horizontal="center" vertical="center" wrapText="1"/>
    </xf>
    <xf numFmtId="0" fontId="1" fillId="6" borderId="24" xfId="0" applyFont="1" applyFill="1" applyBorder="1" applyAlignment="1">
      <alignment horizontal="center" vertical="center" wrapText="1"/>
    </xf>
    <xf numFmtId="14" fontId="1" fillId="6" borderId="24" xfId="0" applyNumberFormat="1" applyFont="1" applyFill="1" applyBorder="1" applyAlignment="1">
      <alignment horizontal="center" vertical="center" wrapText="1"/>
    </xf>
    <xf numFmtId="0" fontId="5" fillId="6" borderId="24" xfId="0" applyFont="1" applyFill="1" applyBorder="1" applyAlignment="1">
      <alignment horizontal="center" vertical="center"/>
    </xf>
    <xf numFmtId="1" fontId="5" fillId="6" borderId="24" xfId="0" applyNumberFormat="1" applyFont="1" applyFill="1" applyBorder="1" applyAlignment="1">
      <alignment horizontal="center" vertical="center" wrapText="1"/>
    </xf>
    <xf numFmtId="0" fontId="5" fillId="6" borderId="24" xfId="0" applyFont="1" applyFill="1" applyBorder="1" applyAlignment="1">
      <alignment horizontal="left" vertical="center" wrapText="1"/>
    </xf>
    <xf numFmtId="0" fontId="5" fillId="6" borderId="25" xfId="0" applyFont="1" applyFill="1" applyBorder="1" applyAlignment="1">
      <alignment horizontal="left" vertical="center" wrapText="1"/>
    </xf>
    <xf numFmtId="0" fontId="20" fillId="7" borderId="23" xfId="0" applyFont="1" applyFill="1" applyBorder="1" applyAlignment="1">
      <alignment horizontal="left" vertical="center" wrapText="1"/>
    </xf>
    <xf numFmtId="0" fontId="21" fillId="7" borderId="24" xfId="0" applyFont="1" applyFill="1" applyBorder="1" applyAlignment="1">
      <alignment horizontal="center" vertical="center" wrapText="1"/>
    </xf>
    <xf numFmtId="0" fontId="20" fillId="7" borderId="24" xfId="0" applyFont="1" applyFill="1" applyBorder="1" applyAlignment="1">
      <alignment horizontal="center" vertical="center" wrapText="1"/>
    </xf>
    <xf numFmtId="164" fontId="3" fillId="8" borderId="6" xfId="0" applyNumberFormat="1" applyFont="1" applyFill="1" applyBorder="1" applyAlignment="1">
      <alignment horizontal="center" vertical="center"/>
    </xf>
    <xf numFmtId="0" fontId="22" fillId="7" borderId="24" xfId="0" applyFont="1" applyFill="1" applyBorder="1" applyAlignment="1">
      <alignment horizontal="center" vertical="center" wrapText="1"/>
    </xf>
    <xf numFmtId="0" fontId="23" fillId="7" borderId="24" xfId="0" applyFont="1" applyFill="1" applyBorder="1" applyAlignment="1">
      <alignment horizontal="left" vertical="center" wrapText="1"/>
    </xf>
    <xf numFmtId="0" fontId="23" fillId="7" borderId="26" xfId="0" applyFont="1" applyFill="1" applyBorder="1" applyAlignment="1">
      <alignment horizontal="left" vertical="center" wrapText="1"/>
    </xf>
    <xf numFmtId="0" fontId="16" fillId="9" borderId="25" xfId="0" applyFont="1" applyFill="1" applyBorder="1" applyAlignment="1">
      <alignment horizontal="center" vertical="center" wrapText="1"/>
    </xf>
    <xf numFmtId="0" fontId="23" fillId="7" borderId="23" xfId="0" applyFont="1" applyFill="1" applyBorder="1" applyAlignment="1">
      <alignment horizontal="left" vertical="center"/>
    </xf>
    <xf numFmtId="0" fontId="23" fillId="7" borderId="24" xfId="0" applyFont="1" applyFill="1" applyBorder="1" applyAlignment="1">
      <alignment horizontal="left" vertical="center"/>
    </xf>
    <xf numFmtId="0" fontId="16" fillId="9" borderId="24" xfId="0" applyFont="1" applyFill="1" applyBorder="1" applyAlignment="1">
      <alignment horizontal="center" vertical="center" wrapText="1"/>
    </xf>
    <xf numFmtId="0" fontId="24" fillId="9" borderId="24" xfId="0" applyFont="1" applyFill="1" applyBorder="1" applyAlignment="1">
      <alignment horizontal="center" vertical="center" wrapText="1"/>
    </xf>
    <xf numFmtId="0" fontId="24" fillId="9" borderId="26" xfId="0" applyFont="1" applyFill="1" applyBorder="1" applyAlignment="1">
      <alignment horizontal="center" vertical="center" wrapText="1"/>
    </xf>
    <xf numFmtId="41" fontId="6" fillId="7" borderId="25" xfId="0" applyNumberFormat="1" applyFont="1" applyFill="1" applyBorder="1" applyAlignment="1">
      <alignment horizontal="left" vertical="center" wrapText="1"/>
    </xf>
    <xf numFmtId="0" fontId="6" fillId="7" borderId="27" xfId="0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5" fillId="6" borderId="28" xfId="0" applyFont="1" applyFill="1" applyBorder="1" applyAlignment="1">
      <alignment horizontal="center" vertical="center" wrapText="1"/>
    </xf>
    <xf numFmtId="0" fontId="5" fillId="6" borderId="29" xfId="0" applyFont="1" applyFill="1" applyBorder="1" applyAlignment="1">
      <alignment horizontal="center" vertical="center" wrapText="1"/>
    </xf>
    <xf numFmtId="0" fontId="16" fillId="9" borderId="29" xfId="0" applyFont="1" applyFill="1" applyBorder="1" applyAlignment="1">
      <alignment horizontal="center" vertical="center" wrapText="1"/>
    </xf>
    <xf numFmtId="0" fontId="16" fillId="9" borderId="30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16" fillId="9" borderId="31" xfId="0" applyFont="1" applyFill="1" applyBorder="1" applyAlignment="1">
      <alignment horizontal="center" vertical="center" wrapText="1"/>
    </xf>
    <xf numFmtId="0" fontId="16" fillId="10" borderId="32" xfId="0" applyFont="1" applyFill="1" applyBorder="1" applyAlignment="1">
      <alignment horizontal="center" vertical="center" wrapText="1"/>
    </xf>
    <xf numFmtId="0" fontId="16" fillId="10" borderId="33" xfId="0" applyFont="1" applyFill="1" applyBorder="1" applyAlignment="1">
      <alignment horizontal="center" vertical="center" wrapText="1"/>
    </xf>
    <xf numFmtId="0" fontId="16" fillId="10" borderId="34" xfId="0" applyFont="1" applyFill="1" applyBorder="1" applyAlignment="1">
      <alignment horizontal="center" vertical="center" wrapText="1"/>
    </xf>
    <xf numFmtId="0" fontId="5" fillId="6" borderId="35" xfId="0" applyFont="1" applyFill="1" applyBorder="1" applyAlignment="1">
      <alignment horizontal="center" vertical="center" wrapText="1"/>
    </xf>
    <xf numFmtId="0" fontId="5" fillId="6" borderId="36" xfId="0" applyFont="1" applyFill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center" vertical="center" wrapText="1"/>
    </xf>
    <xf numFmtId="1" fontId="5" fillId="6" borderId="28" xfId="0" applyNumberFormat="1" applyFont="1" applyFill="1" applyBorder="1" applyAlignment="1">
      <alignment horizontal="center" vertical="center" wrapText="1"/>
    </xf>
    <xf numFmtId="0" fontId="5" fillId="6" borderId="30" xfId="0" applyFont="1" applyFill="1" applyBorder="1" applyAlignment="1">
      <alignment horizontal="center" vertical="center" wrapText="1"/>
    </xf>
    <xf numFmtId="0" fontId="5" fillId="6" borderId="37" xfId="0" applyFont="1" applyFill="1" applyBorder="1" applyAlignment="1">
      <alignment horizontal="center" vertical="center" wrapText="1"/>
    </xf>
    <xf numFmtId="0" fontId="5" fillId="6" borderId="38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31" xfId="0" applyFont="1" applyFill="1" applyBorder="1" applyAlignment="1">
      <alignment horizontal="center" vertical="center" wrapText="1"/>
    </xf>
    <xf numFmtId="1" fontId="5" fillId="6" borderId="40" xfId="0" applyNumberFormat="1" applyFont="1" applyFill="1" applyBorder="1" applyAlignment="1">
      <alignment horizontal="center" vertical="center" wrapText="1"/>
    </xf>
    <xf numFmtId="1" fontId="5" fillId="6" borderId="41" xfId="0" applyNumberFormat="1" applyFont="1" applyFill="1" applyBorder="1" applyAlignment="1">
      <alignment horizontal="center" vertical="center" wrapText="1"/>
    </xf>
    <xf numFmtId="1" fontId="5" fillId="6" borderId="42" xfId="0" applyNumberFormat="1" applyFont="1" applyFill="1" applyBorder="1" applyAlignment="1">
      <alignment horizontal="center" vertical="center" wrapText="1"/>
    </xf>
    <xf numFmtId="0" fontId="5" fillId="6" borderId="43" xfId="0" applyFont="1" applyFill="1" applyBorder="1" applyAlignment="1">
      <alignment horizontal="center" vertical="center" wrapText="1"/>
    </xf>
    <xf numFmtId="1" fontId="25" fillId="6" borderId="41" xfId="0" applyNumberFormat="1" applyFont="1" applyFill="1" applyBorder="1" applyAlignment="1">
      <alignment horizontal="center" vertical="center" wrapText="1"/>
    </xf>
    <xf numFmtId="0" fontId="5" fillId="6" borderId="44" xfId="0" applyFont="1" applyFill="1" applyBorder="1" applyAlignment="1">
      <alignment horizontal="center" vertical="center" wrapText="1"/>
    </xf>
    <xf numFmtId="0" fontId="5" fillId="6" borderId="45" xfId="0" applyFont="1" applyFill="1" applyBorder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1" fontId="5" fillId="6" borderId="38" xfId="0" applyNumberFormat="1" applyFont="1" applyFill="1" applyBorder="1" applyAlignment="1">
      <alignment horizontal="center" vertical="center" wrapText="1"/>
    </xf>
    <xf numFmtId="1" fontId="5" fillId="6" borderId="46" xfId="0" applyNumberFormat="1" applyFont="1" applyFill="1" applyBorder="1" applyAlignment="1">
      <alignment horizontal="center" vertical="center" wrapText="1"/>
    </xf>
    <xf numFmtId="1" fontId="5" fillId="6" borderId="39" xfId="0" applyNumberFormat="1" applyFont="1" applyFill="1" applyBorder="1" applyAlignment="1">
      <alignment horizontal="center" vertical="center" wrapText="1"/>
    </xf>
    <xf numFmtId="1" fontId="5" fillId="6" borderId="45" xfId="0" applyNumberFormat="1" applyFont="1" applyFill="1" applyBorder="1" applyAlignment="1">
      <alignment horizontal="center" vertical="center" wrapText="1"/>
    </xf>
    <xf numFmtId="0" fontId="5" fillId="6" borderId="47" xfId="0" applyFont="1" applyFill="1" applyBorder="1" applyAlignment="1">
      <alignment horizontal="center" vertical="center" wrapText="1"/>
    </xf>
    <xf numFmtId="0" fontId="5" fillId="6" borderId="34" xfId="0" applyFont="1" applyFill="1" applyBorder="1" applyAlignment="1">
      <alignment horizontal="left" vertical="center" wrapText="1"/>
    </xf>
    <xf numFmtId="0" fontId="6" fillId="8" borderId="48" xfId="0" applyFont="1" applyFill="1" applyBorder="1" applyAlignment="1">
      <alignment horizontal="center" vertical="center" wrapText="1"/>
    </xf>
    <xf numFmtId="0" fontId="2" fillId="8" borderId="48" xfId="0" applyFont="1" applyFill="1" applyBorder="1" applyAlignment="1">
      <alignment horizontal="center" vertical="center" wrapText="1"/>
    </xf>
    <xf numFmtId="0" fontId="1" fillId="8" borderId="48" xfId="0" applyFont="1" applyFill="1" applyBorder="1" applyAlignment="1">
      <alignment horizontal="center" vertical="center" wrapText="1"/>
    </xf>
    <xf numFmtId="14" fontId="1" fillId="8" borderId="48" xfId="0" applyNumberFormat="1" applyFont="1" applyFill="1" applyBorder="1" applyAlignment="1">
      <alignment horizontal="center" vertical="center" wrapText="1"/>
    </xf>
    <xf numFmtId="0" fontId="1" fillId="8" borderId="48" xfId="0" applyFont="1" applyFill="1" applyBorder="1" applyAlignment="1">
      <alignment horizontal="center" vertical="center"/>
    </xf>
    <xf numFmtId="1" fontId="1" fillId="8" borderId="48" xfId="0" applyNumberFormat="1" applyFont="1" applyFill="1" applyBorder="1" applyAlignment="1">
      <alignment horizontal="center" vertical="center" wrapText="1"/>
    </xf>
    <xf numFmtId="0" fontId="1" fillId="8" borderId="48" xfId="0" applyFont="1" applyFill="1" applyBorder="1" applyAlignment="1">
      <alignment horizontal="left" vertical="center" wrapText="1"/>
    </xf>
    <xf numFmtId="0" fontId="1" fillId="8" borderId="49" xfId="0" applyFont="1" applyFill="1" applyBorder="1" applyAlignment="1">
      <alignment horizontal="left" vertical="center" wrapText="1"/>
    </xf>
    <xf numFmtId="173" fontId="1" fillId="7" borderId="50" xfId="0" applyNumberFormat="1" applyFont="1" applyFill="1" applyBorder="1" applyAlignment="1">
      <alignment horizontal="left" vertical="center" wrapText="1"/>
    </xf>
    <xf numFmtId="164" fontId="1" fillId="7" borderId="48" xfId="0" applyNumberFormat="1" applyFont="1" applyFill="1" applyBorder="1" applyAlignment="1">
      <alignment horizontal="center" vertical="center" wrapText="1"/>
    </xf>
    <xf numFmtId="164" fontId="1" fillId="7" borderId="51" xfId="0" applyNumberFormat="1" applyFont="1" applyFill="1" applyBorder="1" applyAlignment="1">
      <alignment horizontal="center" vertical="center" wrapText="1"/>
    </xf>
    <xf numFmtId="14" fontId="4" fillId="7" borderId="48" xfId="0" applyNumberFormat="1" applyFont="1" applyFill="1" applyBorder="1" applyAlignment="1">
      <alignment horizontal="center" vertical="center" wrapText="1"/>
    </xf>
    <xf numFmtId="164" fontId="6" fillId="7" borderId="48" xfId="0" applyNumberFormat="1" applyFont="1" applyFill="1" applyBorder="1" applyAlignment="1">
      <alignment horizontal="left" vertical="center"/>
    </xf>
    <xf numFmtId="164" fontId="6" fillId="7" borderId="52" xfId="0" applyNumberFormat="1" applyFont="1" applyFill="1" applyBorder="1" applyAlignment="1">
      <alignment horizontal="left" vertical="center"/>
    </xf>
    <xf numFmtId="164" fontId="6" fillId="9" borderId="49" xfId="0" applyNumberFormat="1" applyFont="1" applyFill="1" applyBorder="1" applyAlignment="1">
      <alignment horizontal="left" vertical="center"/>
    </xf>
    <xf numFmtId="164" fontId="6" fillId="7" borderId="50" xfId="0" applyNumberFormat="1" applyFont="1" applyFill="1" applyBorder="1" applyAlignment="1">
      <alignment horizontal="left" vertical="center"/>
    </xf>
    <xf numFmtId="164" fontId="6" fillId="7" borderId="48" xfId="0" applyNumberFormat="1" applyFont="1" applyFill="1" applyBorder="1" applyAlignment="1">
      <alignment horizontal="left" vertical="center" wrapText="1"/>
    </xf>
    <xf numFmtId="164" fontId="6" fillId="7" borderId="52" xfId="0" applyNumberFormat="1" applyFont="1" applyFill="1" applyBorder="1" applyAlignment="1">
      <alignment horizontal="left" vertical="center" wrapText="1"/>
    </xf>
    <xf numFmtId="164" fontId="6" fillId="9" borderId="48" xfId="0" applyNumberFormat="1" applyFont="1" applyFill="1" applyBorder="1" applyAlignment="1">
      <alignment horizontal="left" vertical="center"/>
    </xf>
    <xf numFmtId="164" fontId="6" fillId="9" borderId="52" xfId="0" applyNumberFormat="1" applyFont="1" applyFill="1" applyBorder="1" applyAlignment="1">
      <alignment horizontal="left" vertical="center"/>
    </xf>
    <xf numFmtId="164" fontId="6" fillId="7" borderId="49" xfId="0" applyNumberFormat="1" applyFont="1" applyFill="1" applyBorder="1" applyAlignment="1">
      <alignment horizontal="left" vertical="center" wrapText="1"/>
    </xf>
    <xf numFmtId="164" fontId="6" fillId="7" borderId="53" xfId="0" applyNumberFormat="1" applyFont="1" applyFill="1" applyBorder="1" applyAlignment="1">
      <alignment horizontal="left" vertical="center"/>
    </xf>
    <xf numFmtId="164" fontId="13" fillId="0" borderId="49" xfId="0" applyNumberFormat="1" applyFont="1" applyBorder="1" applyAlignment="1">
      <alignment horizontal="left" vertical="center"/>
    </xf>
    <xf numFmtId="164" fontId="1" fillId="6" borderId="54" xfId="0" applyNumberFormat="1" applyFont="1" applyFill="1" applyBorder="1" applyAlignment="1">
      <alignment horizontal="center" vertical="center" wrapText="1"/>
    </xf>
    <xf numFmtId="10" fontId="1" fillId="6" borderId="53" xfId="0" applyNumberFormat="1" applyFont="1" applyFill="1" applyBorder="1" applyAlignment="1">
      <alignment horizontal="center" vertical="center" wrapText="1"/>
    </xf>
    <xf numFmtId="10" fontId="6" fillId="9" borderId="51" xfId="0" applyNumberFormat="1" applyFont="1" applyFill="1" applyBorder="1" applyAlignment="1">
      <alignment horizontal="center" vertical="center"/>
    </xf>
    <xf numFmtId="10" fontId="1" fillId="6" borderId="49" xfId="0" applyNumberFormat="1" applyFont="1" applyFill="1" applyBorder="1" applyAlignment="1">
      <alignment horizontal="center" vertical="center" wrapText="1"/>
    </xf>
    <xf numFmtId="10" fontId="6" fillId="9" borderId="55" xfId="0" applyNumberFormat="1" applyFont="1" applyFill="1" applyBorder="1" applyAlignment="1">
      <alignment horizontal="center" vertical="center"/>
    </xf>
    <xf numFmtId="164" fontId="1" fillId="5" borderId="49" xfId="0" applyNumberFormat="1" applyFont="1" applyFill="1" applyBorder="1" applyAlignment="1">
      <alignment horizontal="center" vertical="center" wrapText="1"/>
    </xf>
    <xf numFmtId="10" fontId="1" fillId="5" borderId="53" xfId="0" applyNumberFormat="1" applyFont="1" applyFill="1" applyBorder="1" applyAlignment="1">
      <alignment horizontal="center" vertical="center" wrapText="1"/>
    </xf>
    <xf numFmtId="10" fontId="1" fillId="5" borderId="49" xfId="0" applyNumberFormat="1" applyFont="1" applyFill="1" applyBorder="1" applyAlignment="1">
      <alignment horizontal="center" vertical="center" wrapText="1"/>
    </xf>
    <xf numFmtId="10" fontId="6" fillId="10" borderId="51" xfId="0" applyNumberFormat="1" applyFont="1" applyFill="1" applyBorder="1" applyAlignment="1">
      <alignment horizontal="center" vertical="center"/>
    </xf>
    <xf numFmtId="10" fontId="6" fillId="10" borderId="52" xfId="0" applyNumberFormat="1" applyFont="1" applyFill="1" applyBorder="1" applyAlignment="1">
      <alignment horizontal="center" vertical="center"/>
    </xf>
    <xf numFmtId="10" fontId="6" fillId="10" borderId="55" xfId="0" applyNumberFormat="1" applyFont="1" applyFill="1" applyBorder="1" applyAlignment="1">
      <alignment horizontal="center" vertical="center"/>
    </xf>
    <xf numFmtId="164" fontId="1" fillId="8" borderId="51" xfId="0" applyNumberFormat="1" applyFont="1" applyFill="1" applyBorder="1" applyAlignment="1">
      <alignment horizontal="center" vertical="center" wrapText="1"/>
    </xf>
    <xf numFmtId="164" fontId="1" fillId="8" borderId="48" xfId="0" applyNumberFormat="1" applyFont="1" applyFill="1" applyBorder="1" applyAlignment="1">
      <alignment horizontal="center" vertical="center" wrapText="1"/>
    </xf>
    <xf numFmtId="164" fontId="1" fillId="8" borderId="49" xfId="0" applyNumberFormat="1" applyFont="1" applyFill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14" fontId="6" fillId="4" borderId="12" xfId="0" applyNumberFormat="1" applyFont="1" applyFill="1" applyBorder="1" applyAlignment="1">
      <alignment horizontal="center" vertical="center"/>
    </xf>
    <xf numFmtId="14" fontId="6" fillId="4" borderId="56" xfId="0" applyNumberFormat="1" applyFont="1" applyFill="1" applyBorder="1" applyAlignment="1">
      <alignment horizontal="center" vertical="center"/>
    </xf>
    <xf numFmtId="14" fontId="6" fillId="4" borderId="57" xfId="0" applyNumberFormat="1" applyFont="1" applyFill="1" applyBorder="1" applyAlignment="1">
      <alignment horizontal="center" vertical="center"/>
    </xf>
    <xf numFmtId="0" fontId="17" fillId="5" borderId="14" xfId="0" applyFont="1" applyFill="1" applyBorder="1" applyAlignment="1">
      <alignment horizontal="center" vertical="center"/>
    </xf>
    <xf numFmtId="0" fontId="17" fillId="5" borderId="15" xfId="0" applyFont="1" applyFill="1" applyBorder="1" applyAlignment="1">
      <alignment horizontal="center" vertical="center"/>
    </xf>
    <xf numFmtId="0" fontId="17" fillId="5" borderId="16" xfId="0" applyFont="1" applyFill="1" applyBorder="1" applyAlignment="1">
      <alignment horizontal="center" vertical="center"/>
    </xf>
    <xf numFmtId="0" fontId="18" fillId="4" borderId="15" xfId="0" applyFont="1" applyFill="1" applyBorder="1" applyAlignment="1">
      <alignment horizontal="center" vertical="center"/>
    </xf>
    <xf numFmtId="0" fontId="18" fillId="4" borderId="58" xfId="0" applyFont="1" applyFill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/>
    </xf>
    <xf numFmtId="14" fontId="6" fillId="4" borderId="13" xfId="0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60" xfId="0" applyFont="1" applyBorder="1" applyAlignment="1">
      <alignment horizontal="center"/>
    </xf>
    <xf numFmtId="172" fontId="4" fillId="4" borderId="15" xfId="0" applyNumberFormat="1" applyFont="1" applyFill="1" applyBorder="1" applyAlignment="1">
      <alignment horizontal="left" vertical="center"/>
    </xf>
    <xf numFmtId="172" fontId="4" fillId="4" borderId="17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1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28"/>
  <sheetViews>
    <sheetView tabSelected="1" topLeftCell="A3" workbookViewId="0">
      <selection activeCell="M21" sqref="M21"/>
    </sheetView>
  </sheetViews>
  <sheetFormatPr baseColWidth="10" defaultRowHeight="14.4"/>
  <sheetData>
    <row r="1" spans="1:138" ht="35.4" thickTop="1" thickBot="1">
      <c r="A1" s="90">
        <v>1</v>
      </c>
      <c r="B1" s="91">
        <v>2</v>
      </c>
      <c r="C1" s="90">
        <v>3</v>
      </c>
      <c r="D1" s="91">
        <v>4</v>
      </c>
      <c r="E1" s="90">
        <v>5</v>
      </c>
      <c r="F1" s="91">
        <v>6</v>
      </c>
      <c r="G1" s="90">
        <v>7</v>
      </c>
      <c r="H1" s="91">
        <v>8</v>
      </c>
      <c r="I1" s="90">
        <v>9</v>
      </c>
      <c r="J1" s="91">
        <v>10</v>
      </c>
      <c r="K1" s="90">
        <v>11</v>
      </c>
      <c r="L1" s="91">
        <v>12</v>
      </c>
      <c r="M1" s="90">
        <v>13</v>
      </c>
      <c r="N1" s="91">
        <v>14</v>
      </c>
      <c r="O1" s="90">
        <v>15</v>
      </c>
      <c r="P1" s="91">
        <v>16</v>
      </c>
      <c r="Q1" s="90">
        <v>17</v>
      </c>
      <c r="R1" s="91">
        <v>18</v>
      </c>
      <c r="S1" s="90">
        <v>19</v>
      </c>
      <c r="T1" s="91">
        <v>20</v>
      </c>
      <c r="U1" s="90">
        <v>21</v>
      </c>
      <c r="V1" s="91">
        <v>22</v>
      </c>
      <c r="W1" s="91">
        <v>23</v>
      </c>
      <c r="X1" s="91">
        <v>24</v>
      </c>
      <c r="Y1" s="90">
        <v>25</v>
      </c>
      <c r="Z1" s="91">
        <v>26</v>
      </c>
      <c r="AA1" s="90">
        <v>27</v>
      </c>
      <c r="AB1" s="91">
        <v>28</v>
      </c>
      <c r="AC1" s="90">
        <v>29</v>
      </c>
      <c r="AD1" s="91">
        <v>30</v>
      </c>
      <c r="AE1" s="90">
        <v>31</v>
      </c>
      <c r="AF1" s="91">
        <v>32</v>
      </c>
      <c r="AG1" s="90">
        <v>33</v>
      </c>
      <c r="AH1" s="91">
        <v>34</v>
      </c>
      <c r="AI1" s="90">
        <v>35</v>
      </c>
      <c r="AJ1" s="91">
        <v>36</v>
      </c>
      <c r="AK1" s="90">
        <v>37</v>
      </c>
      <c r="AL1" s="91">
        <v>38</v>
      </c>
      <c r="AM1" s="90">
        <v>39</v>
      </c>
      <c r="AN1" s="91">
        <v>40</v>
      </c>
      <c r="AO1" s="90">
        <v>41</v>
      </c>
      <c r="AP1" s="91">
        <v>42</v>
      </c>
      <c r="AQ1" s="90">
        <v>43</v>
      </c>
      <c r="AR1" s="91">
        <v>44</v>
      </c>
      <c r="AS1" s="92">
        <v>45</v>
      </c>
      <c r="AT1" s="93">
        <v>46</v>
      </c>
      <c r="AU1" s="92">
        <v>47</v>
      </c>
      <c r="AV1" s="93">
        <v>48</v>
      </c>
      <c r="AW1" s="90">
        <v>49</v>
      </c>
      <c r="AX1" s="91">
        <v>50</v>
      </c>
      <c r="AY1" s="90">
        <v>51</v>
      </c>
      <c r="AZ1" s="91">
        <v>52</v>
      </c>
      <c r="BA1" s="90">
        <v>53</v>
      </c>
      <c r="BB1" s="91">
        <v>54</v>
      </c>
      <c r="BC1" s="90">
        <v>55</v>
      </c>
      <c r="BD1" s="91">
        <v>56</v>
      </c>
      <c r="BE1" s="90">
        <v>57</v>
      </c>
      <c r="BF1" s="91">
        <v>58</v>
      </c>
      <c r="BG1" s="90">
        <v>59</v>
      </c>
      <c r="BH1" s="91">
        <v>60</v>
      </c>
      <c r="BI1" s="90">
        <v>61</v>
      </c>
      <c r="BJ1" s="91">
        <v>62</v>
      </c>
      <c r="BK1" s="90">
        <v>63</v>
      </c>
      <c r="BL1" s="91">
        <v>64</v>
      </c>
      <c r="BM1" s="90">
        <v>65</v>
      </c>
      <c r="BN1" s="91">
        <v>66</v>
      </c>
      <c r="BO1" s="90">
        <v>67</v>
      </c>
      <c r="BP1" s="91">
        <v>68</v>
      </c>
      <c r="BQ1" s="90">
        <v>69</v>
      </c>
      <c r="BR1" s="91">
        <v>70</v>
      </c>
      <c r="BS1" s="90">
        <v>71</v>
      </c>
      <c r="BT1" s="91">
        <v>72</v>
      </c>
      <c r="BU1" s="90">
        <v>73</v>
      </c>
      <c r="BV1" s="91">
        <v>74</v>
      </c>
      <c r="BW1" s="90">
        <v>75</v>
      </c>
      <c r="BX1" s="91"/>
      <c r="BY1" s="90" t="s">
        <v>164</v>
      </c>
      <c r="BZ1" s="91" t="s">
        <v>164</v>
      </c>
      <c r="CA1" s="90">
        <v>79</v>
      </c>
      <c r="CB1" s="91" t="s">
        <v>164</v>
      </c>
      <c r="CC1" s="90">
        <v>81</v>
      </c>
      <c r="CD1" s="91">
        <v>82</v>
      </c>
      <c r="CE1" s="90">
        <v>83</v>
      </c>
      <c r="CF1" s="91">
        <v>84</v>
      </c>
      <c r="CG1" s="90">
        <v>85</v>
      </c>
      <c r="CH1" s="91">
        <v>86</v>
      </c>
      <c r="CI1" s="90">
        <v>87</v>
      </c>
      <c r="CJ1" s="91">
        <v>88</v>
      </c>
      <c r="CK1" s="94" t="s">
        <v>165</v>
      </c>
      <c r="CL1" s="95"/>
      <c r="CM1" s="95"/>
      <c r="CN1" s="95"/>
      <c r="CO1" s="97"/>
      <c r="CP1" s="97"/>
      <c r="CQ1" s="97"/>
      <c r="CR1" s="97"/>
      <c r="CS1" s="97"/>
      <c r="CT1" s="211" t="e">
        <v>#REF!</v>
      </c>
      <c r="CU1" s="211"/>
      <c r="CV1" s="211"/>
      <c r="CW1" s="211"/>
      <c r="CX1" s="211"/>
      <c r="CY1" s="212"/>
      <c r="CZ1" s="98"/>
      <c r="DA1" s="98"/>
      <c r="DB1" s="94" t="s">
        <v>166</v>
      </c>
      <c r="DC1" s="95"/>
      <c r="DD1" s="95"/>
      <c r="DE1" s="95"/>
      <c r="DF1" s="97"/>
      <c r="DG1" s="97"/>
      <c r="DH1" s="97"/>
      <c r="DI1" s="97"/>
      <c r="DJ1" s="97"/>
      <c r="DK1" s="211" t="e">
        <v>#REF!</v>
      </c>
      <c r="DL1" s="211"/>
      <c r="DM1" s="211"/>
      <c r="DN1" s="211"/>
      <c r="DO1" s="212"/>
      <c r="DP1" s="91">
        <v>120</v>
      </c>
      <c r="DQ1" s="90">
        <v>121</v>
      </c>
      <c r="DR1" s="91">
        <v>122</v>
      </c>
      <c r="DS1" s="90">
        <v>123</v>
      </c>
      <c r="DT1" s="91">
        <v>124</v>
      </c>
      <c r="DU1" s="90">
        <v>125</v>
      </c>
      <c r="DV1" s="91">
        <v>126</v>
      </c>
      <c r="DW1" s="90">
        <v>127</v>
      </c>
      <c r="DX1" s="91">
        <v>128</v>
      </c>
      <c r="DY1" s="90">
        <v>129</v>
      </c>
      <c r="DZ1" s="91">
        <v>130</v>
      </c>
      <c r="EA1" s="90">
        <v>131</v>
      </c>
      <c r="EB1" s="91">
        <v>132</v>
      </c>
      <c r="EC1" s="90">
        <v>133</v>
      </c>
      <c r="ED1" s="91">
        <v>134</v>
      </c>
      <c r="EE1" s="90">
        <v>135</v>
      </c>
      <c r="EF1" s="91">
        <v>136</v>
      </c>
      <c r="EG1" s="90">
        <v>137</v>
      </c>
      <c r="EH1" s="99"/>
    </row>
    <row r="2" spans="1:138" ht="28.8" thickTop="1" thickBot="1">
      <c r="A2" s="96" t="s">
        <v>167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100"/>
      <c r="R2" s="101"/>
      <c r="S2" s="102"/>
      <c r="T2" s="102"/>
      <c r="U2" s="102"/>
      <c r="V2" s="102"/>
      <c r="W2" s="100"/>
      <c r="X2" s="100"/>
      <c r="Y2" s="98"/>
      <c r="Z2" s="99"/>
      <c r="AA2" s="103"/>
      <c r="AB2" s="96"/>
      <c r="AC2" s="96"/>
      <c r="AD2" s="104">
        <v>364095</v>
      </c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213" t="s">
        <v>168</v>
      </c>
      <c r="AX2" s="214"/>
      <c r="AY2" s="214"/>
      <c r="AZ2" s="214"/>
      <c r="BA2" s="214"/>
      <c r="BB2" s="214"/>
      <c r="BC2" s="214"/>
      <c r="BD2" s="214"/>
      <c r="BE2" s="215"/>
      <c r="BF2" s="217" t="s">
        <v>169</v>
      </c>
      <c r="BG2" s="216"/>
      <c r="BH2" s="216"/>
      <c r="BI2" s="216"/>
      <c r="BJ2" s="216"/>
      <c r="BK2" s="216"/>
      <c r="BL2" s="216"/>
      <c r="BM2" s="216"/>
      <c r="BN2" s="218"/>
      <c r="BO2" s="96"/>
      <c r="BP2" s="96"/>
      <c r="BQ2" s="96"/>
      <c r="BR2" s="105"/>
      <c r="BS2" s="105"/>
      <c r="BT2" s="105"/>
      <c r="BU2" s="106" t="s">
        <v>170</v>
      </c>
      <c r="BV2" s="107"/>
      <c r="BW2" s="107"/>
      <c r="BX2" s="107"/>
      <c r="BY2" s="107"/>
      <c r="BZ2" s="107"/>
      <c r="CA2" s="107"/>
      <c r="CB2" s="107"/>
      <c r="CC2" s="97"/>
      <c r="CD2" s="210" t="e">
        <v>#REF!</v>
      </c>
      <c r="CE2" s="210"/>
      <c r="CF2" s="210"/>
      <c r="CG2" s="210"/>
      <c r="CH2" s="219"/>
      <c r="CI2" s="108"/>
      <c r="CJ2" s="108"/>
      <c r="CK2" s="109"/>
      <c r="CL2" s="98"/>
      <c r="CM2" s="98"/>
      <c r="CN2" s="98"/>
      <c r="CO2" s="220" t="s">
        <v>171</v>
      </c>
      <c r="CP2" s="221"/>
      <c r="CQ2" s="221"/>
      <c r="CR2" s="221"/>
      <c r="CS2" s="222"/>
      <c r="CT2" s="223" t="s">
        <v>172</v>
      </c>
      <c r="CU2" s="221"/>
      <c r="CV2" s="221"/>
      <c r="CW2" s="221"/>
      <c r="CX2" s="221"/>
      <c r="CY2" s="110"/>
      <c r="CZ2" s="108"/>
      <c r="DA2" s="108"/>
      <c r="DB2" s="109"/>
      <c r="DC2" s="98"/>
      <c r="DD2" s="98"/>
      <c r="DE2" s="98"/>
      <c r="DF2" s="224" t="s">
        <v>171</v>
      </c>
      <c r="DG2" s="225"/>
      <c r="DH2" s="225"/>
      <c r="DI2" s="225"/>
      <c r="DJ2" s="226"/>
      <c r="DK2" s="227" t="s">
        <v>172</v>
      </c>
      <c r="DL2" s="225"/>
      <c r="DM2" s="225"/>
      <c r="DN2" s="225"/>
      <c r="DO2" s="110"/>
      <c r="DP2" s="111"/>
      <c r="DQ2" s="111"/>
      <c r="DR2" s="112" t="s">
        <v>173</v>
      </c>
      <c r="DS2" s="113"/>
      <c r="DT2" s="113"/>
      <c r="DU2" s="113"/>
      <c r="DV2" s="113"/>
      <c r="DW2" s="113"/>
      <c r="DX2" s="113"/>
      <c r="DY2" s="113"/>
      <c r="DZ2" s="113"/>
      <c r="EA2" s="97"/>
      <c r="EB2" s="228" t="e">
        <v>#REF!</v>
      </c>
      <c r="EC2" s="228"/>
      <c r="ED2" s="228"/>
      <c r="EE2" s="228"/>
      <c r="EF2" s="228"/>
      <c r="EG2" s="229"/>
      <c r="EH2" s="99"/>
    </row>
    <row r="3" spans="1:138" ht="105.6" thickTop="1" thickBot="1">
      <c r="A3" s="114" t="s">
        <v>174</v>
      </c>
      <c r="B3" s="115" t="s">
        <v>175</v>
      </c>
      <c r="C3" s="116" t="s">
        <v>176</v>
      </c>
      <c r="D3" s="116" t="s">
        <v>177</v>
      </c>
      <c r="E3" s="116" t="s">
        <v>178</v>
      </c>
      <c r="F3" s="116" t="s">
        <v>179</v>
      </c>
      <c r="G3" s="116" t="s">
        <v>180</v>
      </c>
      <c r="H3" s="116" t="s">
        <v>181</v>
      </c>
      <c r="I3" s="117" t="s">
        <v>182</v>
      </c>
      <c r="J3" s="116" t="s">
        <v>183</v>
      </c>
      <c r="K3" s="116" t="s">
        <v>184</v>
      </c>
      <c r="L3" s="116" t="s">
        <v>185</v>
      </c>
      <c r="M3" s="116" t="s">
        <v>186</v>
      </c>
      <c r="N3" s="116" t="s">
        <v>187</v>
      </c>
      <c r="O3" s="116" t="s">
        <v>188</v>
      </c>
      <c r="P3" s="116" t="s">
        <v>189</v>
      </c>
      <c r="Q3" s="118" t="s">
        <v>190</v>
      </c>
      <c r="R3" s="119" t="s">
        <v>191</v>
      </c>
      <c r="S3" s="120" t="s">
        <v>192</v>
      </c>
      <c r="T3" s="121" t="s">
        <v>193</v>
      </c>
      <c r="U3" s="122" t="s">
        <v>194</v>
      </c>
      <c r="V3" s="122" t="s">
        <v>195</v>
      </c>
      <c r="W3" s="123" t="s">
        <v>196</v>
      </c>
      <c r="X3" s="123" t="s">
        <v>197</v>
      </c>
      <c r="Y3" s="124" t="s">
        <v>198</v>
      </c>
      <c r="Z3" s="125">
        <v>2022</v>
      </c>
      <c r="AA3" s="126" t="s">
        <v>199</v>
      </c>
      <c r="AB3" s="124" t="s">
        <v>200</v>
      </c>
      <c r="AC3" s="127" t="s">
        <v>201</v>
      </c>
      <c r="AD3" s="128" t="s">
        <v>202</v>
      </c>
      <c r="AE3" s="129" t="s">
        <v>203</v>
      </c>
      <c r="AF3" s="130" t="s">
        <v>204</v>
      </c>
      <c r="AG3" s="131" t="s">
        <v>205</v>
      </c>
      <c r="AH3" s="127" t="s">
        <v>206</v>
      </c>
      <c r="AI3" s="127" t="s">
        <v>207</v>
      </c>
      <c r="AJ3" s="127"/>
      <c r="AK3" s="127"/>
      <c r="AL3" s="127"/>
      <c r="AM3" s="127"/>
      <c r="AN3" s="127"/>
      <c r="AO3" s="128"/>
      <c r="AP3" s="132" t="s">
        <v>208</v>
      </c>
      <c r="AQ3" s="133" t="s">
        <v>209</v>
      </c>
      <c r="AR3" s="134" t="s">
        <v>210</v>
      </c>
      <c r="AS3" s="135" t="s">
        <v>211</v>
      </c>
      <c r="AT3" s="135" t="s">
        <v>212</v>
      </c>
      <c r="AU3" s="136" t="s">
        <v>213</v>
      </c>
      <c r="AV3" s="137" t="s">
        <v>214</v>
      </c>
      <c r="AW3" s="138" t="s">
        <v>215</v>
      </c>
      <c r="AX3" s="139" t="s">
        <v>216</v>
      </c>
      <c r="AY3" s="139" t="s">
        <v>217</v>
      </c>
      <c r="AZ3" s="139" t="s">
        <v>218</v>
      </c>
      <c r="BA3" s="140" t="s">
        <v>219</v>
      </c>
      <c r="BB3" s="139" t="s">
        <v>220</v>
      </c>
      <c r="BC3" s="139" t="s">
        <v>221</v>
      </c>
      <c r="BD3" s="139" t="s">
        <v>222</v>
      </c>
      <c r="BE3" s="141" t="s">
        <v>223</v>
      </c>
      <c r="BF3" s="142" t="s">
        <v>215</v>
      </c>
      <c r="BG3" s="142" t="s">
        <v>216</v>
      </c>
      <c r="BH3" s="142" t="s">
        <v>217</v>
      </c>
      <c r="BI3" s="142" t="s">
        <v>218</v>
      </c>
      <c r="BJ3" s="140" t="s">
        <v>224</v>
      </c>
      <c r="BK3" s="142" t="s">
        <v>220</v>
      </c>
      <c r="BL3" s="142" t="s">
        <v>221</v>
      </c>
      <c r="BM3" s="142" t="s">
        <v>222</v>
      </c>
      <c r="BN3" s="143" t="s">
        <v>225</v>
      </c>
      <c r="BO3" s="144" t="s">
        <v>226</v>
      </c>
      <c r="BP3" s="145" t="s">
        <v>227</v>
      </c>
      <c r="BQ3" s="146" t="s">
        <v>228</v>
      </c>
      <c r="BR3" s="147"/>
      <c r="BS3" s="148"/>
      <c r="BT3" s="149"/>
      <c r="BU3" s="150" t="s">
        <v>174</v>
      </c>
      <c r="BV3" s="139" t="s">
        <v>175</v>
      </c>
      <c r="BW3" s="139" t="s">
        <v>176</v>
      </c>
      <c r="BX3" s="151" t="s">
        <v>178</v>
      </c>
      <c r="BY3" s="139" t="s">
        <v>194</v>
      </c>
      <c r="BZ3" s="139" t="s">
        <v>195</v>
      </c>
      <c r="CA3" s="139" t="s">
        <v>196</v>
      </c>
      <c r="CB3" s="152" t="s">
        <v>197</v>
      </c>
      <c r="CC3" s="153" t="s">
        <v>203</v>
      </c>
      <c r="CD3" s="154" t="s">
        <v>208</v>
      </c>
      <c r="CE3" s="139" t="s">
        <v>226</v>
      </c>
      <c r="CF3" s="139" t="s">
        <v>227</v>
      </c>
      <c r="CG3" s="139" t="s">
        <v>228</v>
      </c>
      <c r="CH3" s="155" t="s">
        <v>209</v>
      </c>
      <c r="CI3" s="148"/>
      <c r="CJ3" s="149"/>
      <c r="CK3" s="156" t="s">
        <v>174</v>
      </c>
      <c r="CL3" s="157" t="s">
        <v>175</v>
      </c>
      <c r="CM3" s="157" t="s">
        <v>176</v>
      </c>
      <c r="CN3" s="158" t="s">
        <v>178</v>
      </c>
      <c r="CO3" s="138" t="s">
        <v>215</v>
      </c>
      <c r="CP3" s="139" t="s">
        <v>216</v>
      </c>
      <c r="CQ3" s="139" t="s">
        <v>217</v>
      </c>
      <c r="CR3" s="139" t="s">
        <v>218</v>
      </c>
      <c r="CS3" s="155" t="s">
        <v>219</v>
      </c>
      <c r="CT3" s="139" t="s">
        <v>215</v>
      </c>
      <c r="CU3" s="139" t="s">
        <v>216</v>
      </c>
      <c r="CV3" s="139" t="s">
        <v>217</v>
      </c>
      <c r="CW3" s="139" t="s">
        <v>218</v>
      </c>
      <c r="CX3" s="152" t="s">
        <v>224</v>
      </c>
      <c r="CY3" s="159" t="s">
        <v>226</v>
      </c>
      <c r="CZ3" s="148"/>
      <c r="DA3" s="149"/>
      <c r="DB3" s="156" t="s">
        <v>174</v>
      </c>
      <c r="DC3" s="160" t="s">
        <v>175</v>
      </c>
      <c r="DD3" s="157" t="s">
        <v>176</v>
      </c>
      <c r="DE3" s="158" t="s">
        <v>178</v>
      </c>
      <c r="DF3" s="161" t="s">
        <v>219</v>
      </c>
      <c r="DG3" s="162" t="s">
        <v>220</v>
      </c>
      <c r="DH3" s="162" t="s">
        <v>221</v>
      </c>
      <c r="DI3" s="162" t="s">
        <v>222</v>
      </c>
      <c r="DJ3" s="163" t="s">
        <v>223</v>
      </c>
      <c r="DK3" s="162" t="s">
        <v>220</v>
      </c>
      <c r="DL3" s="162" t="s">
        <v>221</v>
      </c>
      <c r="DM3" s="162" t="s">
        <v>222</v>
      </c>
      <c r="DN3" s="162" t="s">
        <v>225</v>
      </c>
      <c r="DO3" s="163" t="s">
        <v>227</v>
      </c>
      <c r="DP3" s="164"/>
      <c r="DQ3" s="164"/>
      <c r="DR3" s="165" t="s">
        <v>174</v>
      </c>
      <c r="DS3" s="166" t="s">
        <v>175</v>
      </c>
      <c r="DT3" s="166" t="s">
        <v>176</v>
      </c>
      <c r="DU3" s="167" t="s">
        <v>178</v>
      </c>
      <c r="DV3" s="168" t="s">
        <v>194</v>
      </c>
      <c r="DW3" s="168" t="s">
        <v>195</v>
      </c>
      <c r="DX3" s="168" t="s">
        <v>196</v>
      </c>
      <c r="DY3" s="168" t="s">
        <v>197</v>
      </c>
      <c r="DZ3" s="168" t="s">
        <v>229</v>
      </c>
      <c r="EA3" s="168" t="s">
        <v>230</v>
      </c>
      <c r="EB3" s="162" t="s">
        <v>231</v>
      </c>
      <c r="EC3" s="162" t="s">
        <v>232</v>
      </c>
      <c r="ED3" s="162" t="s">
        <v>233</v>
      </c>
      <c r="EE3" s="162" t="s">
        <v>234</v>
      </c>
      <c r="EF3" s="169" t="s">
        <v>235</v>
      </c>
      <c r="EG3" s="170" t="s">
        <v>236</v>
      </c>
      <c r="EH3" s="99"/>
    </row>
    <row r="4" spans="1:138" ht="34.799999999999997">
      <c r="A4" s="171"/>
      <c r="B4" s="172"/>
      <c r="C4" s="173"/>
      <c r="D4" s="173"/>
      <c r="E4" s="173"/>
      <c r="F4" s="173"/>
      <c r="G4" s="173"/>
      <c r="H4" s="173"/>
      <c r="I4" s="174"/>
      <c r="J4" s="173"/>
      <c r="K4" s="173"/>
      <c r="L4" s="173"/>
      <c r="M4" s="173"/>
      <c r="N4" s="173"/>
      <c r="O4" s="173"/>
      <c r="P4" s="173"/>
      <c r="Q4" s="175"/>
      <c r="R4" s="176"/>
      <c r="S4" s="177"/>
      <c r="T4" s="178"/>
      <c r="U4" s="179">
        <v>45383</v>
      </c>
      <c r="V4" s="179" t="s">
        <v>237</v>
      </c>
      <c r="W4" s="180" t="s">
        <v>238</v>
      </c>
      <c r="X4" s="180" t="s">
        <v>238</v>
      </c>
      <c r="Y4" s="96" t="s">
        <v>239</v>
      </c>
      <c r="Z4" s="181"/>
      <c r="AA4" s="182"/>
      <c r="AB4" s="183"/>
      <c r="AC4" s="183"/>
      <c r="AD4" s="184"/>
      <c r="AE4" s="185"/>
      <c r="AF4" s="186"/>
      <c r="AG4" s="183"/>
      <c r="AH4" s="187"/>
      <c r="AI4" s="187"/>
      <c r="AJ4" s="187"/>
      <c r="AK4" s="187"/>
      <c r="AL4" s="187"/>
      <c r="AM4" s="187"/>
      <c r="AN4" s="187"/>
      <c r="AO4" s="188"/>
      <c r="AP4" s="189"/>
      <c r="AQ4" s="185"/>
      <c r="AR4" s="190"/>
      <c r="AS4" s="191"/>
      <c r="AT4" s="191"/>
      <c r="AU4" s="192"/>
      <c r="AV4" s="193"/>
      <c r="AW4" s="194"/>
      <c r="AX4" s="195">
        <v>3.8E-3</v>
      </c>
      <c r="AY4" s="195">
        <v>0.01</v>
      </c>
      <c r="AZ4" s="195"/>
      <c r="BA4" s="196">
        <v>1.38E-2</v>
      </c>
      <c r="BB4" s="197">
        <v>4.2000000000000003E-2</v>
      </c>
      <c r="BC4" s="195"/>
      <c r="BD4" s="195"/>
      <c r="BE4" s="198">
        <v>4.2000000000000003E-2</v>
      </c>
      <c r="BF4" s="199"/>
      <c r="BG4" s="200"/>
      <c r="BH4" s="200">
        <v>1.4999999999999999E-2</v>
      </c>
      <c r="BI4" s="200">
        <v>0.01</v>
      </c>
      <c r="BJ4" s="196">
        <v>2.5000000000000001E-2</v>
      </c>
      <c r="BK4" s="201">
        <v>4.2000000000000003E-2</v>
      </c>
      <c r="BL4" s="200">
        <v>7.0000000000000007E-2</v>
      </c>
      <c r="BM4" s="200">
        <v>1.7500000000000002E-2</v>
      </c>
      <c r="BN4" s="198">
        <v>0.1295</v>
      </c>
      <c r="BO4" s="202">
        <v>3.8800000000000001E-2</v>
      </c>
      <c r="BP4" s="203">
        <v>0.17150000000000001</v>
      </c>
      <c r="BQ4" s="204">
        <v>0.21029999999999999</v>
      </c>
      <c r="BR4" s="205"/>
      <c r="BS4" s="206"/>
      <c r="BT4" s="207"/>
      <c r="BU4" s="208"/>
      <c r="BV4" s="208"/>
      <c r="BW4" s="208"/>
      <c r="BX4" s="208"/>
      <c r="BY4" s="208"/>
      <c r="BZ4" s="208"/>
      <c r="CA4" s="208"/>
      <c r="CB4" s="208"/>
      <c r="CC4" s="208"/>
      <c r="CD4" s="208"/>
      <c r="CE4" s="208"/>
      <c r="CF4" s="208"/>
      <c r="CG4" s="208"/>
      <c r="CH4" s="208"/>
      <c r="CI4" s="208"/>
      <c r="CJ4" s="208"/>
      <c r="CK4" s="208"/>
      <c r="CL4" s="208"/>
      <c r="CM4" s="208"/>
      <c r="CN4" s="208"/>
      <c r="CO4" s="208"/>
      <c r="CP4" s="208"/>
      <c r="CQ4" s="208"/>
      <c r="CR4" s="208"/>
      <c r="CS4" s="208"/>
      <c r="CT4" s="208"/>
      <c r="CU4" s="208"/>
      <c r="CV4" s="208"/>
      <c r="CW4" s="208"/>
      <c r="CX4" s="208"/>
      <c r="CY4" s="208"/>
      <c r="CZ4" s="208"/>
      <c r="DA4" s="208"/>
      <c r="DB4" s="208"/>
      <c r="DC4" s="208"/>
      <c r="DD4" s="208"/>
      <c r="DE4" s="208"/>
      <c r="DF4" s="208"/>
      <c r="DG4" s="208"/>
      <c r="DH4" s="208"/>
      <c r="DI4" s="208"/>
      <c r="DJ4" s="208"/>
      <c r="DK4" s="208"/>
      <c r="DL4" s="208"/>
      <c r="DM4" s="208"/>
      <c r="DN4" s="208"/>
      <c r="DO4" s="208"/>
      <c r="DP4" s="208"/>
      <c r="DQ4" s="208"/>
      <c r="DR4" s="208"/>
      <c r="DS4" s="208"/>
      <c r="DT4" s="208"/>
      <c r="DU4" s="208"/>
      <c r="DV4" s="208"/>
      <c r="DW4" s="208"/>
      <c r="DX4" s="208"/>
      <c r="DY4" s="208"/>
      <c r="DZ4" s="208"/>
      <c r="EA4" s="208"/>
      <c r="EB4" s="208"/>
      <c r="EC4" s="208"/>
      <c r="ED4" s="208"/>
      <c r="EE4" s="208"/>
      <c r="EF4" s="208"/>
      <c r="EG4" s="208"/>
      <c r="EH4" s="209"/>
    </row>
    <row r="5" spans="1:138" ht="12.75" customHeight="1">
      <c r="A5" s="1">
        <v>11</v>
      </c>
      <c r="B5" s="2" t="s">
        <v>0</v>
      </c>
      <c r="C5" s="1" t="s">
        <v>1</v>
      </c>
      <c r="D5" s="1"/>
      <c r="E5" s="1" t="s">
        <v>2</v>
      </c>
      <c r="F5" s="1"/>
      <c r="G5" s="1" t="s">
        <v>3</v>
      </c>
      <c r="H5" s="1" t="s">
        <v>4</v>
      </c>
      <c r="I5" s="3">
        <v>33703</v>
      </c>
      <c r="J5" s="3">
        <v>45170</v>
      </c>
      <c r="K5" s="3"/>
      <c r="L5" s="3"/>
      <c r="M5" s="3" t="s">
        <v>5</v>
      </c>
      <c r="N5" s="3" t="s">
        <v>6</v>
      </c>
      <c r="O5" s="4">
        <v>650872001</v>
      </c>
      <c r="P5" s="4">
        <v>676925990</v>
      </c>
      <c r="Q5" s="3" t="s">
        <v>7</v>
      </c>
      <c r="R5" s="5">
        <v>2</v>
      </c>
      <c r="S5" s="6" t="s">
        <v>8</v>
      </c>
      <c r="T5" s="7" t="s">
        <v>9</v>
      </c>
      <c r="U5" s="8">
        <f t="shared" ref="U5:X20" si="0">U4</f>
        <v>45383</v>
      </c>
      <c r="V5" s="8" t="str">
        <f t="shared" si="0"/>
        <v>31/04/2024</v>
      </c>
      <c r="W5" s="5" t="str">
        <f t="shared" si="0"/>
        <v>#####</v>
      </c>
      <c r="X5" s="5" t="str">
        <f t="shared" si="0"/>
        <v>#####</v>
      </c>
      <c r="Y5" s="9"/>
      <c r="Z5" s="10"/>
      <c r="AA5" s="11">
        <v>0.24623803009575923</v>
      </c>
      <c r="AB5" s="12"/>
      <c r="AC5" s="12">
        <v>45000</v>
      </c>
      <c r="AD5" s="13">
        <v>0</v>
      </c>
      <c r="AE5" s="14">
        <f t="shared" ref="AE5:AE28" si="1">AC5+AD5</f>
        <v>45000</v>
      </c>
      <c r="AF5" s="15">
        <v>2500</v>
      </c>
      <c r="AG5" s="10">
        <v>2500</v>
      </c>
      <c r="AH5" s="16"/>
      <c r="AI5" s="12"/>
      <c r="AJ5" s="12"/>
      <c r="AK5" s="12"/>
      <c r="AL5" s="12"/>
      <c r="AM5" s="12"/>
      <c r="AN5" s="12"/>
      <c r="AO5" s="13"/>
      <c r="AP5" s="15">
        <f t="shared" ref="AP5:AP28" si="2">SUM(AF5:AO5)</f>
        <v>5000</v>
      </c>
      <c r="AQ5" s="10">
        <f t="shared" ref="AQ5:AQ28" si="3">AP5+AE5</f>
        <v>50000</v>
      </c>
      <c r="AR5" s="13"/>
      <c r="AS5" s="17"/>
      <c r="AT5" s="10"/>
      <c r="AU5" s="10"/>
      <c r="AV5" s="12"/>
      <c r="AW5" s="12"/>
      <c r="AX5" s="12">
        <f t="shared" ref="AX5:AX28" si="4">AE5*AX$4</f>
        <v>171</v>
      </c>
      <c r="AY5" s="12">
        <f t="shared" ref="AY5:AY28" si="5">AE5*AY$4</f>
        <v>450</v>
      </c>
      <c r="AZ5" s="12">
        <f t="shared" ref="AZ5:AZ28" si="6">AE5*AZ$4</f>
        <v>0</v>
      </c>
      <c r="BA5" s="12">
        <f t="shared" ref="BA5:BA28" si="7">SUM(AW5:AZ5)</f>
        <v>621</v>
      </c>
      <c r="BB5" s="12">
        <f t="shared" ref="BB5:BB28" si="8">AE5*BB$4</f>
        <v>1890.0000000000002</v>
      </c>
      <c r="BC5" s="12">
        <f t="shared" ref="BC5:BC28" si="9">AE5*BC$4</f>
        <v>0</v>
      </c>
      <c r="BD5" s="12">
        <f t="shared" ref="BD5:BD28" si="10">AE5*BD$4</f>
        <v>0</v>
      </c>
      <c r="BE5" s="12">
        <f t="shared" ref="BE5:BE28" si="11">SUM(BB5:BD5)</f>
        <v>1890.0000000000002</v>
      </c>
      <c r="BF5" s="12">
        <f t="shared" ref="BF5:BF28" si="12">AE5*BF$4</f>
        <v>0</v>
      </c>
      <c r="BG5" s="12">
        <f t="shared" ref="BG5:BG28" si="13">AE5*BG$4</f>
        <v>0</v>
      </c>
      <c r="BH5" s="12">
        <f t="shared" ref="BH5:BH28" si="14">AE5*BH$4</f>
        <v>675</v>
      </c>
      <c r="BI5" s="12">
        <f t="shared" ref="BI5:BI28" si="15">AE5*BI$4</f>
        <v>450</v>
      </c>
      <c r="BJ5" s="12">
        <f t="shared" ref="BJ5:BJ28" si="16">SUM(BF5:BI5)</f>
        <v>1125</v>
      </c>
      <c r="BK5" s="12">
        <f t="shared" ref="BK5:BK28" si="17">AE5*BK$4</f>
        <v>1890.0000000000002</v>
      </c>
      <c r="BL5" s="12">
        <f t="shared" ref="BL5:BL28" si="18">AE5*BL$4</f>
        <v>3150.0000000000005</v>
      </c>
      <c r="BM5" s="12">
        <f t="shared" ref="BM5:BM28" si="19">AE5*BM$4</f>
        <v>787.50000000000011</v>
      </c>
      <c r="BN5" s="12">
        <f t="shared" ref="BN5:BN28" si="20">SUM(BK5:BM5)</f>
        <v>5827.5000000000009</v>
      </c>
      <c r="BO5" s="12">
        <f t="shared" ref="BO5:BO28" si="21">BJ5+BA5</f>
        <v>1746</v>
      </c>
      <c r="BP5" s="10">
        <f t="shared" ref="BP5:BP28" si="22">BN5+BE5</f>
        <v>7717.5000000000009</v>
      </c>
      <c r="BQ5" s="10">
        <f t="shared" ref="BQ5:BQ28" si="23">SUM(BO5:BP5)</f>
        <v>9463.5</v>
      </c>
      <c r="BR5" s="12"/>
      <c r="BS5" s="12"/>
      <c r="BT5" s="18"/>
      <c r="BU5" s="19">
        <f t="shared" ref="BU5:BW28" si="24">A5</f>
        <v>11</v>
      </c>
      <c r="BV5" s="20" t="str">
        <f t="shared" si="24"/>
        <v>Mrs</v>
      </c>
      <c r="BW5" s="20" t="str">
        <f t="shared" si="24"/>
        <v>NCHANJI ELEXINE BONGABI</v>
      </c>
      <c r="BX5" s="21" t="str">
        <f t="shared" ref="BX5:BX28" si="25">E5</f>
        <v>Class 3B</v>
      </c>
      <c r="BY5" s="22">
        <f t="shared" ref="BY5:CB28" si="26">U5</f>
        <v>45383</v>
      </c>
      <c r="BZ5" s="22" t="str">
        <f t="shared" si="26"/>
        <v>31/04/2024</v>
      </c>
      <c r="CA5" s="23" t="str">
        <f t="shared" si="26"/>
        <v>#####</v>
      </c>
      <c r="CB5" s="24" t="str">
        <f t="shared" si="26"/>
        <v>#####</v>
      </c>
      <c r="CC5" s="25">
        <f t="shared" ref="CC5:CC28" si="27">AE5</f>
        <v>45000</v>
      </c>
      <c r="CD5" s="26">
        <f t="shared" ref="CD5:CD28" si="28">AP5</f>
        <v>5000</v>
      </c>
      <c r="CE5" s="27">
        <f t="shared" ref="CE5:CG28" si="29">BO5</f>
        <v>1746</v>
      </c>
      <c r="CF5" s="28">
        <f t="shared" si="29"/>
        <v>7717.5000000000009</v>
      </c>
      <c r="CG5" s="28">
        <f t="shared" si="29"/>
        <v>9463.5</v>
      </c>
      <c r="CH5" s="23">
        <f t="shared" ref="CH5:CH28" si="30">AQ5</f>
        <v>50000</v>
      </c>
      <c r="CI5" s="29"/>
      <c r="CJ5" s="30"/>
      <c r="CK5" s="19">
        <f t="shared" ref="CK5:CN28" si="31">BU5</f>
        <v>11</v>
      </c>
      <c r="CL5" s="20" t="str">
        <f t="shared" si="31"/>
        <v>Mrs</v>
      </c>
      <c r="CM5" s="20" t="str">
        <f t="shared" si="31"/>
        <v>NCHANJI ELEXINE BONGABI</v>
      </c>
      <c r="CN5" s="31" t="str">
        <f t="shared" si="31"/>
        <v>Class 3B</v>
      </c>
      <c r="CO5" s="25">
        <f t="shared" ref="CO5:CS28" si="32">AW5</f>
        <v>0</v>
      </c>
      <c r="CP5" s="23">
        <f t="shared" si="32"/>
        <v>171</v>
      </c>
      <c r="CQ5" s="23">
        <f t="shared" si="32"/>
        <v>450</v>
      </c>
      <c r="CR5" s="23">
        <f t="shared" si="32"/>
        <v>0</v>
      </c>
      <c r="CS5" s="32">
        <f t="shared" si="32"/>
        <v>621</v>
      </c>
      <c r="CT5" s="33">
        <f t="shared" ref="CT5:CX28" si="33">BF5</f>
        <v>0</v>
      </c>
      <c r="CU5" s="23">
        <f t="shared" si="33"/>
        <v>0</v>
      </c>
      <c r="CV5" s="23">
        <f t="shared" si="33"/>
        <v>675</v>
      </c>
      <c r="CW5" s="23">
        <f t="shared" si="33"/>
        <v>450</v>
      </c>
      <c r="CX5" s="24">
        <f t="shared" si="33"/>
        <v>1125</v>
      </c>
      <c r="CY5" s="34">
        <f t="shared" ref="CY5:CY28" si="34">BO5</f>
        <v>1746</v>
      </c>
      <c r="CZ5" s="29"/>
      <c r="DA5" s="35"/>
      <c r="DB5" s="19">
        <f t="shared" ref="DB5:DE28" si="35">CK5</f>
        <v>11</v>
      </c>
      <c r="DC5" s="20" t="str">
        <f t="shared" si="35"/>
        <v>Mrs</v>
      </c>
      <c r="DD5" s="20" t="str">
        <f t="shared" si="35"/>
        <v>NCHANJI ELEXINE BONGABI</v>
      </c>
      <c r="DE5" s="31" t="str">
        <f t="shared" si="35"/>
        <v>Class 3B</v>
      </c>
      <c r="DF5" s="36">
        <f t="shared" ref="DF5:DJ28" si="36">BA5</f>
        <v>621</v>
      </c>
      <c r="DG5" s="20">
        <f t="shared" si="36"/>
        <v>1890.0000000000002</v>
      </c>
      <c r="DH5" s="20">
        <f t="shared" si="36"/>
        <v>0</v>
      </c>
      <c r="DI5" s="20">
        <f t="shared" si="36"/>
        <v>0</v>
      </c>
      <c r="DJ5" s="37">
        <f t="shared" si="36"/>
        <v>1890.0000000000002</v>
      </c>
      <c r="DK5" s="38">
        <f t="shared" ref="DK5:DN28" si="37">BK5</f>
        <v>1890.0000000000002</v>
      </c>
      <c r="DL5" s="39">
        <f t="shared" si="37"/>
        <v>3150.0000000000005</v>
      </c>
      <c r="DM5" s="40">
        <f t="shared" si="37"/>
        <v>787.50000000000011</v>
      </c>
      <c r="DN5" s="39">
        <f t="shared" si="37"/>
        <v>5827.5000000000009</v>
      </c>
      <c r="DO5" s="41">
        <f t="shared" ref="DO5:DO28" si="38">BP5</f>
        <v>7717.5000000000009</v>
      </c>
      <c r="DP5" s="42"/>
      <c r="DQ5" s="42"/>
      <c r="DR5" s="43">
        <f t="shared" ref="DR5:DY20" si="39">BU5</f>
        <v>11</v>
      </c>
      <c r="DS5" s="20" t="str">
        <f t="shared" si="39"/>
        <v>Mrs</v>
      </c>
      <c r="DT5" s="20" t="str">
        <f t="shared" si="39"/>
        <v>NCHANJI ELEXINE BONGABI</v>
      </c>
      <c r="DU5" s="44" t="str">
        <f t="shared" si="39"/>
        <v>Class 3B</v>
      </c>
      <c r="DV5" s="45">
        <f t="shared" si="39"/>
        <v>45383</v>
      </c>
      <c r="DW5" s="46" t="str">
        <f t="shared" si="39"/>
        <v>31/04/2024</v>
      </c>
      <c r="DX5" s="47" t="str">
        <f t="shared" ref="DX5:DX28" si="40">W5</f>
        <v>#####</v>
      </c>
      <c r="DY5" s="47" t="str">
        <f t="shared" si="39"/>
        <v>#####</v>
      </c>
      <c r="DZ5" s="48">
        <f t="shared" ref="DZ5:DZ28" si="41">AQ5</f>
        <v>50000</v>
      </c>
      <c r="EA5" s="49"/>
      <c r="EB5" s="48">
        <v>20000</v>
      </c>
      <c r="EC5" s="48">
        <v>15000</v>
      </c>
      <c r="ED5" s="48">
        <v>3000</v>
      </c>
      <c r="EE5" s="50"/>
      <c r="EF5" s="48"/>
      <c r="EG5" s="20">
        <f t="shared" ref="EG5:EG28" si="42">DZ5-EB5-EC5-ED5-EE5-EF5</f>
        <v>12000</v>
      </c>
      <c r="EH5" s="51" t="str">
        <f t="shared" ref="EH5:EH28" si="43">DT5</f>
        <v>NCHANJI ELEXINE BONGABI</v>
      </c>
    </row>
    <row r="6" spans="1:138" s="89" customFormat="1" ht="12.75" customHeight="1">
      <c r="A6" s="1">
        <v>12</v>
      </c>
      <c r="B6" s="2" t="s">
        <v>0</v>
      </c>
      <c r="C6" s="1" t="s">
        <v>10</v>
      </c>
      <c r="D6" s="1" t="s">
        <v>11</v>
      </c>
      <c r="E6" s="1" t="s">
        <v>12</v>
      </c>
      <c r="F6" s="1"/>
      <c r="G6" s="1" t="s">
        <v>13</v>
      </c>
      <c r="H6" s="1" t="s">
        <v>14</v>
      </c>
      <c r="I6" s="3">
        <v>35509</v>
      </c>
      <c r="J6" s="3">
        <v>44440</v>
      </c>
      <c r="K6" s="3"/>
      <c r="L6" s="3">
        <v>57424</v>
      </c>
      <c r="M6" s="3" t="s">
        <v>15</v>
      </c>
      <c r="N6" s="3" t="s">
        <v>16</v>
      </c>
      <c r="O6" s="4"/>
      <c r="P6" s="4">
        <v>651526999</v>
      </c>
      <c r="Q6" s="3" t="s">
        <v>17</v>
      </c>
      <c r="R6" s="52">
        <v>0</v>
      </c>
      <c r="S6" s="3" t="s">
        <v>8</v>
      </c>
      <c r="T6" s="53" t="s">
        <v>18</v>
      </c>
      <c r="U6" s="54">
        <f t="shared" si="0"/>
        <v>45383</v>
      </c>
      <c r="V6" s="54" t="str">
        <f t="shared" si="0"/>
        <v>31/04/2024</v>
      </c>
      <c r="W6" s="5" t="str">
        <f t="shared" si="0"/>
        <v>#####</v>
      </c>
      <c r="X6" s="5" t="str">
        <f t="shared" si="0"/>
        <v>#####</v>
      </c>
      <c r="Y6" s="55"/>
      <c r="Z6" s="56"/>
      <c r="AA6" s="57">
        <v>2.243502051983584</v>
      </c>
      <c r="AB6" s="56"/>
      <c r="AC6" s="56">
        <v>48000</v>
      </c>
      <c r="AD6" s="58">
        <v>2000</v>
      </c>
      <c r="AE6" s="14">
        <f t="shared" si="1"/>
        <v>50000</v>
      </c>
      <c r="AF6" s="59">
        <v>2500</v>
      </c>
      <c r="AG6" s="56">
        <v>2500</v>
      </c>
      <c r="AH6" s="56"/>
      <c r="AI6" s="56"/>
      <c r="AJ6" s="56"/>
      <c r="AK6" s="56"/>
      <c r="AL6" s="56"/>
      <c r="AM6" s="56"/>
      <c r="AN6" s="56"/>
      <c r="AO6" s="58"/>
      <c r="AP6" s="59">
        <f t="shared" si="2"/>
        <v>5000</v>
      </c>
      <c r="AQ6" s="56">
        <f t="shared" si="3"/>
        <v>55000</v>
      </c>
      <c r="AR6" s="58"/>
      <c r="AS6" s="60"/>
      <c r="AT6" s="61"/>
      <c r="AU6" s="61"/>
      <c r="AV6" s="56"/>
      <c r="AW6" s="56"/>
      <c r="AX6" s="56">
        <f t="shared" si="4"/>
        <v>190</v>
      </c>
      <c r="AY6" s="56">
        <f t="shared" si="5"/>
        <v>500</v>
      </c>
      <c r="AZ6" s="56">
        <f t="shared" si="6"/>
        <v>0</v>
      </c>
      <c r="BA6" s="56">
        <f t="shared" si="7"/>
        <v>690</v>
      </c>
      <c r="BB6" s="56">
        <f t="shared" si="8"/>
        <v>2100</v>
      </c>
      <c r="BC6" s="56">
        <f t="shared" si="9"/>
        <v>0</v>
      </c>
      <c r="BD6" s="56">
        <f t="shared" si="10"/>
        <v>0</v>
      </c>
      <c r="BE6" s="56">
        <f t="shared" si="11"/>
        <v>2100</v>
      </c>
      <c r="BF6" s="56">
        <f t="shared" si="12"/>
        <v>0</v>
      </c>
      <c r="BG6" s="56">
        <f t="shared" si="13"/>
        <v>0</v>
      </c>
      <c r="BH6" s="56">
        <f t="shared" si="14"/>
        <v>750</v>
      </c>
      <c r="BI6" s="56">
        <f t="shared" si="15"/>
        <v>500</v>
      </c>
      <c r="BJ6" s="56">
        <f t="shared" si="16"/>
        <v>1250</v>
      </c>
      <c r="BK6" s="56">
        <f t="shared" si="17"/>
        <v>2100</v>
      </c>
      <c r="BL6" s="56">
        <f t="shared" si="18"/>
        <v>3500.0000000000005</v>
      </c>
      <c r="BM6" s="56">
        <f t="shared" si="19"/>
        <v>875.00000000000011</v>
      </c>
      <c r="BN6" s="56">
        <f t="shared" si="20"/>
        <v>6475</v>
      </c>
      <c r="BO6" s="56">
        <f t="shared" si="21"/>
        <v>1940</v>
      </c>
      <c r="BP6" s="56">
        <f t="shared" si="22"/>
        <v>8575</v>
      </c>
      <c r="BQ6" s="56">
        <f t="shared" si="23"/>
        <v>10515</v>
      </c>
      <c r="BR6" s="56"/>
      <c r="BS6" s="56"/>
      <c r="BT6" s="62"/>
      <c r="BU6" s="63">
        <f t="shared" si="24"/>
        <v>12</v>
      </c>
      <c r="BV6" s="64" t="str">
        <f t="shared" si="24"/>
        <v>Mrs</v>
      </c>
      <c r="BW6" s="64" t="str">
        <f t="shared" si="24"/>
        <v>SHU FUHNWI KELLY</v>
      </c>
      <c r="BX6" s="65" t="str">
        <f t="shared" si="25"/>
        <v>Class 1A</v>
      </c>
      <c r="BY6" s="66">
        <f t="shared" si="26"/>
        <v>45383</v>
      </c>
      <c r="BZ6" s="66" t="str">
        <f t="shared" si="26"/>
        <v>31/04/2024</v>
      </c>
      <c r="CA6" s="67" t="str">
        <f t="shared" si="26"/>
        <v>#####</v>
      </c>
      <c r="CB6" s="68" t="str">
        <f t="shared" si="26"/>
        <v>#####</v>
      </c>
      <c r="CC6" s="69">
        <f t="shared" si="27"/>
        <v>50000</v>
      </c>
      <c r="CD6" s="70">
        <f t="shared" si="28"/>
        <v>5000</v>
      </c>
      <c r="CE6" s="71">
        <f t="shared" si="29"/>
        <v>1940</v>
      </c>
      <c r="CF6" s="67">
        <f t="shared" si="29"/>
        <v>8575</v>
      </c>
      <c r="CG6" s="67">
        <f t="shared" si="29"/>
        <v>10515</v>
      </c>
      <c r="CH6" s="67">
        <f t="shared" si="30"/>
        <v>55000</v>
      </c>
      <c r="CI6" s="72"/>
      <c r="CJ6" s="73"/>
      <c r="CK6" s="63">
        <f t="shared" si="31"/>
        <v>12</v>
      </c>
      <c r="CL6" s="64" t="str">
        <f t="shared" si="31"/>
        <v>Mrs</v>
      </c>
      <c r="CM6" s="64" t="str">
        <f t="shared" si="31"/>
        <v>SHU FUHNWI KELLY</v>
      </c>
      <c r="CN6" s="74" t="str">
        <f t="shared" si="31"/>
        <v>Class 1A</v>
      </c>
      <c r="CO6" s="69">
        <f t="shared" si="32"/>
        <v>0</v>
      </c>
      <c r="CP6" s="67">
        <f t="shared" si="32"/>
        <v>190</v>
      </c>
      <c r="CQ6" s="67">
        <f t="shared" si="32"/>
        <v>500</v>
      </c>
      <c r="CR6" s="67">
        <f t="shared" si="32"/>
        <v>0</v>
      </c>
      <c r="CS6" s="70">
        <f t="shared" si="32"/>
        <v>690</v>
      </c>
      <c r="CT6" s="71">
        <f t="shared" si="33"/>
        <v>0</v>
      </c>
      <c r="CU6" s="67">
        <f t="shared" si="33"/>
        <v>0</v>
      </c>
      <c r="CV6" s="67">
        <f t="shared" si="33"/>
        <v>750</v>
      </c>
      <c r="CW6" s="67">
        <f t="shared" si="33"/>
        <v>500</v>
      </c>
      <c r="CX6" s="68">
        <f t="shared" si="33"/>
        <v>1250</v>
      </c>
      <c r="CY6" s="75">
        <f t="shared" si="34"/>
        <v>1940</v>
      </c>
      <c r="CZ6" s="72"/>
      <c r="DA6" s="76"/>
      <c r="DB6" s="63">
        <f t="shared" si="35"/>
        <v>12</v>
      </c>
      <c r="DC6" s="64" t="str">
        <f t="shared" si="35"/>
        <v>Mrs</v>
      </c>
      <c r="DD6" s="64" t="str">
        <f t="shared" si="35"/>
        <v>SHU FUHNWI KELLY</v>
      </c>
      <c r="DE6" s="74" t="str">
        <f t="shared" si="35"/>
        <v>Class 1A</v>
      </c>
      <c r="DF6" s="77">
        <f t="shared" si="36"/>
        <v>690</v>
      </c>
      <c r="DG6" s="64">
        <f t="shared" si="36"/>
        <v>2100</v>
      </c>
      <c r="DH6" s="64">
        <f t="shared" si="36"/>
        <v>0</v>
      </c>
      <c r="DI6" s="64">
        <f t="shared" si="36"/>
        <v>0</v>
      </c>
      <c r="DJ6" s="78">
        <f t="shared" si="36"/>
        <v>2100</v>
      </c>
      <c r="DK6" s="79">
        <f t="shared" si="37"/>
        <v>2100</v>
      </c>
      <c r="DL6" s="80">
        <f t="shared" si="37"/>
        <v>3500.0000000000005</v>
      </c>
      <c r="DM6" s="80">
        <f t="shared" si="37"/>
        <v>875.00000000000011</v>
      </c>
      <c r="DN6" s="80">
        <f t="shared" si="37"/>
        <v>6475</v>
      </c>
      <c r="DO6" s="81">
        <f t="shared" si="38"/>
        <v>8575</v>
      </c>
      <c r="DP6" s="82"/>
      <c r="DQ6" s="82"/>
      <c r="DR6" s="83">
        <f t="shared" si="39"/>
        <v>12</v>
      </c>
      <c r="DS6" s="64" t="str">
        <f t="shared" si="39"/>
        <v>Mrs</v>
      </c>
      <c r="DT6" s="64" t="str">
        <f t="shared" si="39"/>
        <v>SHU FUHNWI KELLY</v>
      </c>
      <c r="DU6" s="84" t="str">
        <f t="shared" si="39"/>
        <v>Class 1A</v>
      </c>
      <c r="DV6" s="85">
        <f t="shared" si="39"/>
        <v>45383</v>
      </c>
      <c r="DW6" s="86" t="str">
        <f t="shared" si="39"/>
        <v>31/04/2024</v>
      </c>
      <c r="DX6" s="87" t="str">
        <f t="shared" si="40"/>
        <v>#####</v>
      </c>
      <c r="DY6" s="47" t="str">
        <f t="shared" si="39"/>
        <v>#####</v>
      </c>
      <c r="DZ6" s="50">
        <f t="shared" si="41"/>
        <v>55000</v>
      </c>
      <c r="EA6" s="88"/>
      <c r="EB6" s="50"/>
      <c r="EC6" s="50">
        <v>15000</v>
      </c>
      <c r="ED6" s="50">
        <v>3000</v>
      </c>
      <c r="EE6" s="50"/>
      <c r="EF6" s="50"/>
      <c r="EG6" s="64">
        <f t="shared" si="42"/>
        <v>37000</v>
      </c>
      <c r="EH6" s="51" t="str">
        <f t="shared" si="43"/>
        <v>SHU FUHNWI KELLY</v>
      </c>
    </row>
    <row r="7" spans="1:138" ht="12.75" customHeight="1">
      <c r="A7" s="1">
        <v>13</v>
      </c>
      <c r="B7" s="2" t="s">
        <v>0</v>
      </c>
      <c r="C7" s="1" t="s">
        <v>19</v>
      </c>
      <c r="D7" s="1" t="s">
        <v>20</v>
      </c>
      <c r="E7" s="1" t="s">
        <v>21</v>
      </c>
      <c r="F7" s="1" t="s">
        <v>22</v>
      </c>
      <c r="G7" s="1" t="s">
        <v>23</v>
      </c>
      <c r="H7" s="1" t="s">
        <v>24</v>
      </c>
      <c r="I7" s="3">
        <v>34946</v>
      </c>
      <c r="J7" s="3">
        <v>44440</v>
      </c>
      <c r="K7" s="3"/>
      <c r="L7" s="3">
        <v>56861</v>
      </c>
      <c r="M7" s="3" t="s">
        <v>25</v>
      </c>
      <c r="N7" s="3" t="s">
        <v>6</v>
      </c>
      <c r="O7" s="4">
        <v>655074305</v>
      </c>
      <c r="P7" s="4">
        <v>675380724</v>
      </c>
      <c r="Q7" s="3" t="s">
        <v>17</v>
      </c>
      <c r="R7" s="5">
        <v>0</v>
      </c>
      <c r="S7" s="6" t="s">
        <v>8</v>
      </c>
      <c r="T7" s="7" t="s">
        <v>9</v>
      </c>
      <c r="U7" s="8">
        <f t="shared" si="0"/>
        <v>45383</v>
      </c>
      <c r="V7" s="8" t="str">
        <f t="shared" si="0"/>
        <v>31/04/2024</v>
      </c>
      <c r="W7" s="5" t="str">
        <f t="shared" si="0"/>
        <v>#####</v>
      </c>
      <c r="X7" s="5" t="str">
        <f t="shared" si="0"/>
        <v>#####</v>
      </c>
      <c r="Y7" s="9"/>
      <c r="Z7" s="10"/>
      <c r="AA7" s="11">
        <v>2.243502051983584</v>
      </c>
      <c r="AB7" s="12"/>
      <c r="AC7" s="12">
        <v>48000</v>
      </c>
      <c r="AD7" s="13">
        <v>2000</v>
      </c>
      <c r="AE7" s="14">
        <f t="shared" si="1"/>
        <v>50000</v>
      </c>
      <c r="AF7" s="15">
        <v>2500</v>
      </c>
      <c r="AG7" s="10">
        <v>2500</v>
      </c>
      <c r="AH7" s="16"/>
      <c r="AI7" s="12"/>
      <c r="AJ7" s="12"/>
      <c r="AK7" s="12"/>
      <c r="AL7" s="12"/>
      <c r="AM7" s="12"/>
      <c r="AN7" s="12"/>
      <c r="AO7" s="13"/>
      <c r="AP7" s="15">
        <f t="shared" si="2"/>
        <v>5000</v>
      </c>
      <c r="AQ7" s="10">
        <f t="shared" si="3"/>
        <v>55000</v>
      </c>
      <c r="AR7" s="13"/>
      <c r="AS7" s="17"/>
      <c r="AT7" s="10"/>
      <c r="AU7" s="10"/>
      <c r="AV7" s="12"/>
      <c r="AW7" s="12"/>
      <c r="AX7" s="12">
        <f t="shared" si="4"/>
        <v>190</v>
      </c>
      <c r="AY7" s="12">
        <f t="shared" si="5"/>
        <v>500</v>
      </c>
      <c r="AZ7" s="12">
        <f t="shared" si="6"/>
        <v>0</v>
      </c>
      <c r="BA7" s="12">
        <f t="shared" si="7"/>
        <v>690</v>
      </c>
      <c r="BB7" s="12">
        <f t="shared" si="8"/>
        <v>2100</v>
      </c>
      <c r="BC7" s="12">
        <f t="shared" si="9"/>
        <v>0</v>
      </c>
      <c r="BD7" s="12">
        <f t="shared" si="10"/>
        <v>0</v>
      </c>
      <c r="BE7" s="12">
        <f t="shared" si="11"/>
        <v>2100</v>
      </c>
      <c r="BF7" s="12">
        <f t="shared" si="12"/>
        <v>0</v>
      </c>
      <c r="BG7" s="12">
        <f t="shared" si="13"/>
        <v>0</v>
      </c>
      <c r="BH7" s="12">
        <f t="shared" si="14"/>
        <v>750</v>
      </c>
      <c r="BI7" s="12">
        <f t="shared" si="15"/>
        <v>500</v>
      </c>
      <c r="BJ7" s="12">
        <f t="shared" si="16"/>
        <v>1250</v>
      </c>
      <c r="BK7" s="12">
        <f t="shared" si="17"/>
        <v>2100</v>
      </c>
      <c r="BL7" s="12">
        <f t="shared" si="18"/>
        <v>3500.0000000000005</v>
      </c>
      <c r="BM7" s="12">
        <f t="shared" si="19"/>
        <v>875.00000000000011</v>
      </c>
      <c r="BN7" s="12">
        <f t="shared" si="20"/>
        <v>6475</v>
      </c>
      <c r="BO7" s="12">
        <f t="shared" si="21"/>
        <v>1940</v>
      </c>
      <c r="BP7" s="10">
        <f t="shared" si="22"/>
        <v>8575</v>
      </c>
      <c r="BQ7" s="10">
        <f t="shared" si="23"/>
        <v>10515</v>
      </c>
      <c r="BR7" s="12"/>
      <c r="BS7" s="12"/>
      <c r="BT7" s="18"/>
      <c r="BU7" s="19">
        <f t="shared" si="24"/>
        <v>13</v>
      </c>
      <c r="BV7" s="20" t="str">
        <f t="shared" si="24"/>
        <v>Mrs</v>
      </c>
      <c r="BW7" s="20" t="str">
        <f t="shared" si="24"/>
        <v>NGOMBA MANDE GERTRUDE</v>
      </c>
      <c r="BX7" s="21" t="str">
        <f t="shared" si="25"/>
        <v>Class 1B</v>
      </c>
      <c r="BY7" s="22">
        <f t="shared" si="26"/>
        <v>45383</v>
      </c>
      <c r="BZ7" s="22" t="str">
        <f t="shared" si="26"/>
        <v>31/04/2024</v>
      </c>
      <c r="CA7" s="23" t="str">
        <f t="shared" si="26"/>
        <v>#####</v>
      </c>
      <c r="CB7" s="24" t="str">
        <f t="shared" si="26"/>
        <v>#####</v>
      </c>
      <c r="CC7" s="25">
        <f t="shared" si="27"/>
        <v>50000</v>
      </c>
      <c r="CD7" s="26">
        <f t="shared" si="28"/>
        <v>5000</v>
      </c>
      <c r="CE7" s="27">
        <f t="shared" si="29"/>
        <v>1940</v>
      </c>
      <c r="CF7" s="28">
        <f t="shared" si="29"/>
        <v>8575</v>
      </c>
      <c r="CG7" s="28">
        <f t="shared" si="29"/>
        <v>10515</v>
      </c>
      <c r="CH7" s="23">
        <f t="shared" si="30"/>
        <v>55000</v>
      </c>
      <c r="CI7" s="29"/>
      <c r="CJ7" s="30"/>
      <c r="CK7" s="19">
        <f t="shared" si="31"/>
        <v>13</v>
      </c>
      <c r="CL7" s="20" t="str">
        <f t="shared" si="31"/>
        <v>Mrs</v>
      </c>
      <c r="CM7" s="20" t="str">
        <f t="shared" si="31"/>
        <v>NGOMBA MANDE GERTRUDE</v>
      </c>
      <c r="CN7" s="31" t="str">
        <f t="shared" si="31"/>
        <v>Class 1B</v>
      </c>
      <c r="CO7" s="25">
        <f t="shared" si="32"/>
        <v>0</v>
      </c>
      <c r="CP7" s="23">
        <f t="shared" si="32"/>
        <v>190</v>
      </c>
      <c r="CQ7" s="23">
        <f t="shared" si="32"/>
        <v>500</v>
      </c>
      <c r="CR7" s="23">
        <f t="shared" si="32"/>
        <v>0</v>
      </c>
      <c r="CS7" s="32">
        <f t="shared" si="32"/>
        <v>690</v>
      </c>
      <c r="CT7" s="33">
        <f t="shared" si="33"/>
        <v>0</v>
      </c>
      <c r="CU7" s="23">
        <f t="shared" si="33"/>
        <v>0</v>
      </c>
      <c r="CV7" s="23">
        <f t="shared" si="33"/>
        <v>750</v>
      </c>
      <c r="CW7" s="23">
        <f t="shared" si="33"/>
        <v>500</v>
      </c>
      <c r="CX7" s="24">
        <f t="shared" si="33"/>
        <v>1250</v>
      </c>
      <c r="CY7" s="34">
        <f t="shared" si="34"/>
        <v>1940</v>
      </c>
      <c r="CZ7" s="29"/>
      <c r="DA7" s="35"/>
      <c r="DB7" s="19">
        <f t="shared" si="35"/>
        <v>13</v>
      </c>
      <c r="DC7" s="20" t="str">
        <f t="shared" si="35"/>
        <v>Mrs</v>
      </c>
      <c r="DD7" s="20" t="str">
        <f t="shared" si="35"/>
        <v>NGOMBA MANDE GERTRUDE</v>
      </c>
      <c r="DE7" s="31" t="str">
        <f t="shared" si="35"/>
        <v>Class 1B</v>
      </c>
      <c r="DF7" s="36">
        <f t="shared" si="36"/>
        <v>690</v>
      </c>
      <c r="DG7" s="20">
        <f t="shared" si="36"/>
        <v>2100</v>
      </c>
      <c r="DH7" s="20">
        <f t="shared" si="36"/>
        <v>0</v>
      </c>
      <c r="DI7" s="20">
        <f t="shared" si="36"/>
        <v>0</v>
      </c>
      <c r="DJ7" s="37">
        <f t="shared" si="36"/>
        <v>2100</v>
      </c>
      <c r="DK7" s="38">
        <f t="shared" si="37"/>
        <v>2100</v>
      </c>
      <c r="DL7" s="39">
        <f t="shared" si="37"/>
        <v>3500.0000000000005</v>
      </c>
      <c r="DM7" s="40">
        <f t="shared" si="37"/>
        <v>875.00000000000011</v>
      </c>
      <c r="DN7" s="39">
        <f t="shared" si="37"/>
        <v>6475</v>
      </c>
      <c r="DO7" s="41">
        <f t="shared" si="38"/>
        <v>8575</v>
      </c>
      <c r="DP7" s="42"/>
      <c r="DQ7" s="42"/>
      <c r="DR7" s="43">
        <f t="shared" si="39"/>
        <v>13</v>
      </c>
      <c r="DS7" s="20" t="str">
        <f t="shared" si="39"/>
        <v>Mrs</v>
      </c>
      <c r="DT7" s="20" t="str">
        <f t="shared" si="39"/>
        <v>NGOMBA MANDE GERTRUDE</v>
      </c>
      <c r="DU7" s="44" t="str">
        <f t="shared" si="39"/>
        <v>Class 1B</v>
      </c>
      <c r="DV7" s="45">
        <f t="shared" si="39"/>
        <v>45383</v>
      </c>
      <c r="DW7" s="46" t="str">
        <f t="shared" si="39"/>
        <v>31/04/2024</v>
      </c>
      <c r="DX7" s="47" t="str">
        <f t="shared" si="40"/>
        <v>#####</v>
      </c>
      <c r="DY7" s="47" t="str">
        <f t="shared" si="39"/>
        <v>#####</v>
      </c>
      <c r="DZ7" s="48">
        <f t="shared" si="41"/>
        <v>55000</v>
      </c>
      <c r="EA7" s="49"/>
      <c r="EB7" s="48"/>
      <c r="EC7" s="48">
        <v>15000</v>
      </c>
      <c r="ED7" s="48">
        <v>3000</v>
      </c>
      <c r="EE7" s="50"/>
      <c r="EF7" s="48"/>
      <c r="EG7" s="20">
        <f t="shared" si="42"/>
        <v>37000</v>
      </c>
      <c r="EH7" s="51" t="str">
        <f t="shared" si="43"/>
        <v>NGOMBA MANDE GERTRUDE</v>
      </c>
    </row>
    <row r="8" spans="1:138" ht="12.75" customHeight="1">
      <c r="A8" s="1">
        <v>14</v>
      </c>
      <c r="B8" s="2" t="s">
        <v>26</v>
      </c>
      <c r="C8" s="1" t="s">
        <v>27</v>
      </c>
      <c r="D8" s="1" t="s">
        <v>28</v>
      </c>
      <c r="E8" s="1" t="s">
        <v>29</v>
      </c>
      <c r="F8" s="1" t="s">
        <v>30</v>
      </c>
      <c r="G8" s="1" t="s">
        <v>31</v>
      </c>
      <c r="H8" s="1" t="s">
        <v>32</v>
      </c>
      <c r="I8" s="3">
        <v>34762</v>
      </c>
      <c r="J8" s="3">
        <v>43054</v>
      </c>
      <c r="K8" s="3"/>
      <c r="L8" s="3">
        <v>56677</v>
      </c>
      <c r="M8" s="3" t="s">
        <v>33</v>
      </c>
      <c r="N8" s="3" t="s">
        <v>34</v>
      </c>
      <c r="O8" s="4">
        <v>657554378</v>
      </c>
      <c r="P8" s="4">
        <v>651830082</v>
      </c>
      <c r="Q8" s="3" t="s">
        <v>17</v>
      </c>
      <c r="R8" s="52">
        <v>0</v>
      </c>
      <c r="S8" s="3"/>
      <c r="T8" s="53" t="s">
        <v>9</v>
      </c>
      <c r="U8" s="54">
        <f t="shared" si="0"/>
        <v>45383</v>
      </c>
      <c r="V8" s="54" t="str">
        <f t="shared" si="0"/>
        <v>31/04/2024</v>
      </c>
      <c r="W8" s="5" t="str">
        <f t="shared" si="0"/>
        <v>#####</v>
      </c>
      <c r="X8" s="5" t="str">
        <f t="shared" si="0"/>
        <v>#####</v>
      </c>
      <c r="Y8" s="55"/>
      <c r="Z8" s="56"/>
      <c r="AA8" s="57">
        <v>6.0355677154582761</v>
      </c>
      <c r="AB8" s="56"/>
      <c r="AC8" s="56">
        <v>49000</v>
      </c>
      <c r="AD8" s="58">
        <v>6000</v>
      </c>
      <c r="AE8" s="14">
        <f t="shared" si="1"/>
        <v>55000</v>
      </c>
      <c r="AF8" s="59">
        <v>2500</v>
      </c>
      <c r="AG8" s="56">
        <v>2500</v>
      </c>
      <c r="AH8" s="56"/>
      <c r="AI8" s="56"/>
      <c r="AJ8" s="56"/>
      <c r="AK8" s="56"/>
      <c r="AL8" s="56"/>
      <c r="AM8" s="56"/>
      <c r="AN8" s="56"/>
      <c r="AO8" s="58"/>
      <c r="AP8" s="59">
        <f t="shared" si="2"/>
        <v>5000</v>
      </c>
      <c r="AQ8" s="56">
        <f t="shared" si="3"/>
        <v>60000</v>
      </c>
      <c r="AR8" s="58"/>
      <c r="AS8" s="60"/>
      <c r="AT8" s="61"/>
      <c r="AU8" s="61"/>
      <c r="AV8" s="56"/>
      <c r="AW8" s="56"/>
      <c r="AX8" s="56">
        <f t="shared" si="4"/>
        <v>209</v>
      </c>
      <c r="AY8" s="56">
        <f t="shared" si="5"/>
        <v>550</v>
      </c>
      <c r="AZ8" s="56">
        <f t="shared" si="6"/>
        <v>0</v>
      </c>
      <c r="BA8" s="56">
        <f t="shared" si="7"/>
        <v>759</v>
      </c>
      <c r="BB8" s="56">
        <f t="shared" si="8"/>
        <v>2310</v>
      </c>
      <c r="BC8" s="56">
        <f t="shared" si="9"/>
        <v>0</v>
      </c>
      <c r="BD8" s="56">
        <f t="shared" si="10"/>
        <v>0</v>
      </c>
      <c r="BE8" s="56">
        <f t="shared" si="11"/>
        <v>2310</v>
      </c>
      <c r="BF8" s="56">
        <f t="shared" si="12"/>
        <v>0</v>
      </c>
      <c r="BG8" s="56">
        <f t="shared" si="13"/>
        <v>0</v>
      </c>
      <c r="BH8" s="56">
        <f t="shared" si="14"/>
        <v>825</v>
      </c>
      <c r="BI8" s="56">
        <f t="shared" si="15"/>
        <v>550</v>
      </c>
      <c r="BJ8" s="56">
        <f t="shared" si="16"/>
        <v>1375</v>
      </c>
      <c r="BK8" s="56">
        <f t="shared" si="17"/>
        <v>2310</v>
      </c>
      <c r="BL8" s="56">
        <f t="shared" si="18"/>
        <v>3850.0000000000005</v>
      </c>
      <c r="BM8" s="56">
        <f t="shared" si="19"/>
        <v>962.50000000000011</v>
      </c>
      <c r="BN8" s="56">
        <f t="shared" si="20"/>
        <v>7122.5</v>
      </c>
      <c r="BO8" s="56">
        <f t="shared" si="21"/>
        <v>2134</v>
      </c>
      <c r="BP8" s="56">
        <f t="shared" si="22"/>
        <v>9432.5</v>
      </c>
      <c r="BQ8" s="56">
        <f t="shared" si="23"/>
        <v>11566.5</v>
      </c>
      <c r="BR8" s="56"/>
      <c r="BS8" s="56"/>
      <c r="BT8" s="62"/>
      <c r="BU8" s="63">
        <f t="shared" si="24"/>
        <v>14</v>
      </c>
      <c r="BV8" s="64" t="str">
        <f t="shared" si="24"/>
        <v xml:space="preserve">Mr </v>
      </c>
      <c r="BW8" s="64" t="str">
        <f t="shared" si="24"/>
        <v>NGEE LINUS</v>
      </c>
      <c r="BX8" s="65" t="str">
        <f t="shared" si="25"/>
        <v>Class 2A</v>
      </c>
      <c r="BY8" s="66">
        <f t="shared" si="26"/>
        <v>45383</v>
      </c>
      <c r="BZ8" s="66" t="str">
        <f t="shared" si="26"/>
        <v>31/04/2024</v>
      </c>
      <c r="CA8" s="67" t="str">
        <f t="shared" si="26"/>
        <v>#####</v>
      </c>
      <c r="CB8" s="68" t="str">
        <f t="shared" si="26"/>
        <v>#####</v>
      </c>
      <c r="CC8" s="69">
        <f t="shared" si="27"/>
        <v>55000</v>
      </c>
      <c r="CD8" s="70">
        <f t="shared" si="28"/>
        <v>5000</v>
      </c>
      <c r="CE8" s="71">
        <f t="shared" si="29"/>
        <v>2134</v>
      </c>
      <c r="CF8" s="67">
        <f t="shared" si="29"/>
        <v>9432.5</v>
      </c>
      <c r="CG8" s="67">
        <f t="shared" si="29"/>
        <v>11566.5</v>
      </c>
      <c r="CH8" s="67">
        <f t="shared" si="30"/>
        <v>60000</v>
      </c>
      <c r="CI8" s="72"/>
      <c r="CJ8" s="73"/>
      <c r="CK8" s="63">
        <f t="shared" si="31"/>
        <v>14</v>
      </c>
      <c r="CL8" s="64" t="str">
        <f t="shared" si="31"/>
        <v xml:space="preserve">Mr </v>
      </c>
      <c r="CM8" s="64" t="str">
        <f t="shared" si="31"/>
        <v>NGEE LINUS</v>
      </c>
      <c r="CN8" s="74" t="str">
        <f t="shared" si="31"/>
        <v>Class 2A</v>
      </c>
      <c r="CO8" s="69">
        <f t="shared" si="32"/>
        <v>0</v>
      </c>
      <c r="CP8" s="67">
        <f t="shared" si="32"/>
        <v>209</v>
      </c>
      <c r="CQ8" s="67">
        <f t="shared" si="32"/>
        <v>550</v>
      </c>
      <c r="CR8" s="67">
        <f t="shared" si="32"/>
        <v>0</v>
      </c>
      <c r="CS8" s="70">
        <f t="shared" si="32"/>
        <v>759</v>
      </c>
      <c r="CT8" s="71">
        <f t="shared" si="33"/>
        <v>0</v>
      </c>
      <c r="CU8" s="67">
        <f t="shared" si="33"/>
        <v>0</v>
      </c>
      <c r="CV8" s="67">
        <f t="shared" si="33"/>
        <v>825</v>
      </c>
      <c r="CW8" s="67">
        <f t="shared" si="33"/>
        <v>550</v>
      </c>
      <c r="CX8" s="68">
        <f t="shared" si="33"/>
        <v>1375</v>
      </c>
      <c r="CY8" s="75">
        <f t="shared" si="34"/>
        <v>2134</v>
      </c>
      <c r="CZ8" s="72"/>
      <c r="DA8" s="76"/>
      <c r="DB8" s="63">
        <f t="shared" si="35"/>
        <v>14</v>
      </c>
      <c r="DC8" s="64" t="str">
        <f t="shared" si="35"/>
        <v xml:space="preserve">Mr </v>
      </c>
      <c r="DD8" s="64" t="str">
        <f t="shared" si="35"/>
        <v>NGEE LINUS</v>
      </c>
      <c r="DE8" s="74" t="str">
        <f t="shared" si="35"/>
        <v>Class 2A</v>
      </c>
      <c r="DF8" s="77">
        <f t="shared" si="36"/>
        <v>759</v>
      </c>
      <c r="DG8" s="64">
        <f t="shared" si="36"/>
        <v>2310</v>
      </c>
      <c r="DH8" s="64">
        <f t="shared" si="36"/>
        <v>0</v>
      </c>
      <c r="DI8" s="64">
        <f t="shared" si="36"/>
        <v>0</v>
      </c>
      <c r="DJ8" s="78">
        <f t="shared" si="36"/>
        <v>2310</v>
      </c>
      <c r="DK8" s="79">
        <f t="shared" si="37"/>
        <v>2310</v>
      </c>
      <c r="DL8" s="80">
        <f t="shared" si="37"/>
        <v>3850.0000000000005</v>
      </c>
      <c r="DM8" s="80">
        <f t="shared" si="37"/>
        <v>962.50000000000011</v>
      </c>
      <c r="DN8" s="80">
        <f t="shared" si="37"/>
        <v>7122.5</v>
      </c>
      <c r="DO8" s="81">
        <f t="shared" si="38"/>
        <v>9432.5</v>
      </c>
      <c r="DP8" s="82"/>
      <c r="DQ8" s="82"/>
      <c r="DR8" s="83">
        <f t="shared" si="39"/>
        <v>14</v>
      </c>
      <c r="DS8" s="64" t="str">
        <f t="shared" si="39"/>
        <v xml:space="preserve">Mr </v>
      </c>
      <c r="DT8" s="64" t="str">
        <f t="shared" si="39"/>
        <v>NGEE LINUS</v>
      </c>
      <c r="DU8" s="84" t="str">
        <f t="shared" si="39"/>
        <v>Class 2A</v>
      </c>
      <c r="DV8" s="85">
        <f t="shared" si="39"/>
        <v>45383</v>
      </c>
      <c r="DW8" s="86" t="str">
        <f t="shared" si="39"/>
        <v>31/04/2024</v>
      </c>
      <c r="DX8" s="87" t="str">
        <f t="shared" si="40"/>
        <v>#####</v>
      </c>
      <c r="DY8" s="47" t="str">
        <f t="shared" si="39"/>
        <v>#####</v>
      </c>
      <c r="DZ8" s="50">
        <f t="shared" si="41"/>
        <v>60000</v>
      </c>
      <c r="EA8" s="88"/>
      <c r="EB8" s="50">
        <v>5000</v>
      </c>
      <c r="EC8" s="50">
        <v>15000</v>
      </c>
      <c r="ED8" s="50">
        <v>3000</v>
      </c>
      <c r="EE8" s="50"/>
      <c r="EF8" s="50"/>
      <c r="EG8" s="64">
        <f t="shared" si="42"/>
        <v>37000</v>
      </c>
      <c r="EH8" s="51" t="str">
        <f t="shared" si="43"/>
        <v>NGEE LINUS</v>
      </c>
    </row>
    <row r="9" spans="1:138" ht="12.75" customHeight="1">
      <c r="A9" s="1">
        <v>15</v>
      </c>
      <c r="B9" s="2" t="s">
        <v>0</v>
      </c>
      <c r="C9" s="1" t="s">
        <v>35</v>
      </c>
      <c r="D9" s="1" t="s">
        <v>36</v>
      </c>
      <c r="E9" s="1" t="s">
        <v>37</v>
      </c>
      <c r="F9" s="1" t="s">
        <v>38</v>
      </c>
      <c r="G9" s="1" t="s">
        <v>39</v>
      </c>
      <c r="H9" s="1" t="s">
        <v>40</v>
      </c>
      <c r="I9" s="3">
        <v>31386</v>
      </c>
      <c r="J9" s="3">
        <v>43344</v>
      </c>
      <c r="K9" s="3"/>
      <c r="L9" s="3">
        <v>53301</v>
      </c>
      <c r="M9" s="3" t="s">
        <v>15</v>
      </c>
      <c r="N9" s="3" t="s">
        <v>6</v>
      </c>
      <c r="O9" s="4">
        <v>655281435</v>
      </c>
      <c r="P9" s="4">
        <v>653684251</v>
      </c>
      <c r="Q9" s="3" t="s">
        <v>17</v>
      </c>
      <c r="R9" s="5">
        <v>2</v>
      </c>
      <c r="S9" s="6" t="s">
        <v>8</v>
      </c>
      <c r="T9" s="7" t="s">
        <v>18</v>
      </c>
      <c r="U9" s="8">
        <f t="shared" si="0"/>
        <v>45383</v>
      </c>
      <c r="V9" s="8" t="str">
        <f t="shared" si="0"/>
        <v>31/04/2024</v>
      </c>
      <c r="W9" s="5" t="str">
        <f t="shared" si="0"/>
        <v>#####</v>
      </c>
      <c r="X9" s="5" t="str">
        <f t="shared" si="0"/>
        <v>#####</v>
      </c>
      <c r="Y9" s="9"/>
      <c r="Z9" s="10"/>
      <c r="AA9" s="11">
        <v>5.2421340629274962</v>
      </c>
      <c r="AB9" s="12"/>
      <c r="AC9" s="12">
        <v>50000</v>
      </c>
      <c r="AD9" s="13">
        <v>5000</v>
      </c>
      <c r="AE9" s="14">
        <f t="shared" si="1"/>
        <v>55000</v>
      </c>
      <c r="AF9" s="15">
        <v>2500</v>
      </c>
      <c r="AG9" s="10">
        <v>2500</v>
      </c>
      <c r="AH9" s="16"/>
      <c r="AI9" s="12"/>
      <c r="AJ9" s="12"/>
      <c r="AK9" s="12"/>
      <c r="AL9" s="12"/>
      <c r="AM9" s="12"/>
      <c r="AN9" s="12"/>
      <c r="AO9" s="13"/>
      <c r="AP9" s="15">
        <f t="shared" si="2"/>
        <v>5000</v>
      </c>
      <c r="AQ9" s="10">
        <f t="shared" si="3"/>
        <v>60000</v>
      </c>
      <c r="AR9" s="13"/>
      <c r="AS9" s="17"/>
      <c r="AT9" s="10"/>
      <c r="AU9" s="10"/>
      <c r="AV9" s="12"/>
      <c r="AW9" s="12"/>
      <c r="AX9" s="12">
        <f t="shared" si="4"/>
        <v>209</v>
      </c>
      <c r="AY9" s="12">
        <f t="shared" si="5"/>
        <v>550</v>
      </c>
      <c r="AZ9" s="12">
        <f t="shared" si="6"/>
        <v>0</v>
      </c>
      <c r="BA9" s="12">
        <f t="shared" si="7"/>
        <v>759</v>
      </c>
      <c r="BB9" s="12">
        <f t="shared" si="8"/>
        <v>2310</v>
      </c>
      <c r="BC9" s="12">
        <f t="shared" si="9"/>
        <v>0</v>
      </c>
      <c r="BD9" s="12">
        <f t="shared" si="10"/>
        <v>0</v>
      </c>
      <c r="BE9" s="12">
        <f t="shared" si="11"/>
        <v>2310</v>
      </c>
      <c r="BF9" s="12">
        <f t="shared" si="12"/>
        <v>0</v>
      </c>
      <c r="BG9" s="12">
        <f t="shared" si="13"/>
        <v>0</v>
      </c>
      <c r="BH9" s="12">
        <f t="shared" si="14"/>
        <v>825</v>
      </c>
      <c r="BI9" s="12">
        <f t="shared" si="15"/>
        <v>550</v>
      </c>
      <c r="BJ9" s="12">
        <f t="shared" si="16"/>
        <v>1375</v>
      </c>
      <c r="BK9" s="12">
        <f t="shared" si="17"/>
        <v>2310</v>
      </c>
      <c r="BL9" s="12">
        <f t="shared" si="18"/>
        <v>3850.0000000000005</v>
      </c>
      <c r="BM9" s="12">
        <f t="shared" si="19"/>
        <v>962.50000000000011</v>
      </c>
      <c r="BN9" s="12">
        <f t="shared" si="20"/>
        <v>7122.5</v>
      </c>
      <c r="BO9" s="12">
        <f t="shared" si="21"/>
        <v>2134</v>
      </c>
      <c r="BP9" s="10">
        <f t="shared" si="22"/>
        <v>9432.5</v>
      </c>
      <c r="BQ9" s="10">
        <f t="shared" si="23"/>
        <v>11566.5</v>
      </c>
      <c r="BR9" s="12"/>
      <c r="BS9" s="12"/>
      <c r="BT9" s="18"/>
      <c r="BU9" s="19">
        <f t="shared" si="24"/>
        <v>15</v>
      </c>
      <c r="BV9" s="20" t="str">
        <f t="shared" si="24"/>
        <v>Mrs</v>
      </c>
      <c r="BW9" s="20" t="str">
        <f t="shared" si="24"/>
        <v>PASCALINE MBONGEH</v>
      </c>
      <c r="BX9" s="21" t="str">
        <f t="shared" si="25"/>
        <v>Class 2B</v>
      </c>
      <c r="BY9" s="22">
        <f t="shared" si="26"/>
        <v>45383</v>
      </c>
      <c r="BZ9" s="22" t="str">
        <f t="shared" si="26"/>
        <v>31/04/2024</v>
      </c>
      <c r="CA9" s="23" t="str">
        <f t="shared" si="26"/>
        <v>#####</v>
      </c>
      <c r="CB9" s="24" t="str">
        <f t="shared" si="26"/>
        <v>#####</v>
      </c>
      <c r="CC9" s="25">
        <f t="shared" si="27"/>
        <v>55000</v>
      </c>
      <c r="CD9" s="26">
        <f t="shared" si="28"/>
        <v>5000</v>
      </c>
      <c r="CE9" s="27">
        <f t="shared" si="29"/>
        <v>2134</v>
      </c>
      <c r="CF9" s="28">
        <f t="shared" si="29"/>
        <v>9432.5</v>
      </c>
      <c r="CG9" s="28">
        <f t="shared" si="29"/>
        <v>11566.5</v>
      </c>
      <c r="CH9" s="23">
        <f t="shared" si="30"/>
        <v>60000</v>
      </c>
      <c r="CI9" s="29"/>
      <c r="CJ9" s="30"/>
      <c r="CK9" s="19">
        <f t="shared" si="31"/>
        <v>15</v>
      </c>
      <c r="CL9" s="20" t="str">
        <f t="shared" si="31"/>
        <v>Mrs</v>
      </c>
      <c r="CM9" s="20" t="str">
        <f t="shared" si="31"/>
        <v>PASCALINE MBONGEH</v>
      </c>
      <c r="CN9" s="31" t="str">
        <f t="shared" si="31"/>
        <v>Class 2B</v>
      </c>
      <c r="CO9" s="25">
        <f t="shared" si="32"/>
        <v>0</v>
      </c>
      <c r="CP9" s="23">
        <f t="shared" si="32"/>
        <v>209</v>
      </c>
      <c r="CQ9" s="23">
        <f t="shared" si="32"/>
        <v>550</v>
      </c>
      <c r="CR9" s="23">
        <f t="shared" si="32"/>
        <v>0</v>
      </c>
      <c r="CS9" s="32">
        <f t="shared" si="32"/>
        <v>759</v>
      </c>
      <c r="CT9" s="33">
        <f t="shared" si="33"/>
        <v>0</v>
      </c>
      <c r="CU9" s="23">
        <f t="shared" si="33"/>
        <v>0</v>
      </c>
      <c r="CV9" s="23">
        <f t="shared" si="33"/>
        <v>825</v>
      </c>
      <c r="CW9" s="23">
        <f t="shared" si="33"/>
        <v>550</v>
      </c>
      <c r="CX9" s="24">
        <f t="shared" si="33"/>
        <v>1375</v>
      </c>
      <c r="CY9" s="34">
        <f t="shared" si="34"/>
        <v>2134</v>
      </c>
      <c r="CZ9" s="29"/>
      <c r="DA9" s="35"/>
      <c r="DB9" s="19">
        <f t="shared" si="35"/>
        <v>15</v>
      </c>
      <c r="DC9" s="20" t="str">
        <f t="shared" si="35"/>
        <v>Mrs</v>
      </c>
      <c r="DD9" s="20" t="str">
        <f t="shared" si="35"/>
        <v>PASCALINE MBONGEH</v>
      </c>
      <c r="DE9" s="31" t="str">
        <f t="shared" si="35"/>
        <v>Class 2B</v>
      </c>
      <c r="DF9" s="36">
        <f t="shared" si="36"/>
        <v>759</v>
      </c>
      <c r="DG9" s="20">
        <f t="shared" si="36"/>
        <v>2310</v>
      </c>
      <c r="DH9" s="20">
        <f t="shared" si="36"/>
        <v>0</v>
      </c>
      <c r="DI9" s="20">
        <f t="shared" si="36"/>
        <v>0</v>
      </c>
      <c r="DJ9" s="37">
        <f t="shared" si="36"/>
        <v>2310</v>
      </c>
      <c r="DK9" s="38">
        <f t="shared" si="37"/>
        <v>2310</v>
      </c>
      <c r="DL9" s="39">
        <f t="shared" si="37"/>
        <v>3850.0000000000005</v>
      </c>
      <c r="DM9" s="40">
        <f t="shared" si="37"/>
        <v>962.50000000000011</v>
      </c>
      <c r="DN9" s="39">
        <f t="shared" si="37"/>
        <v>7122.5</v>
      </c>
      <c r="DO9" s="41">
        <f t="shared" si="38"/>
        <v>9432.5</v>
      </c>
      <c r="DP9" s="42"/>
      <c r="DQ9" s="42"/>
      <c r="DR9" s="43">
        <f t="shared" si="39"/>
        <v>15</v>
      </c>
      <c r="DS9" s="20" t="str">
        <f t="shared" si="39"/>
        <v>Mrs</v>
      </c>
      <c r="DT9" s="20" t="str">
        <f t="shared" si="39"/>
        <v>PASCALINE MBONGEH</v>
      </c>
      <c r="DU9" s="44" t="str">
        <f t="shared" si="39"/>
        <v>Class 2B</v>
      </c>
      <c r="DV9" s="45">
        <f t="shared" si="39"/>
        <v>45383</v>
      </c>
      <c r="DW9" s="46" t="str">
        <f t="shared" si="39"/>
        <v>31/04/2024</v>
      </c>
      <c r="DX9" s="47" t="str">
        <f t="shared" si="40"/>
        <v>#####</v>
      </c>
      <c r="DY9" s="47" t="str">
        <f t="shared" si="39"/>
        <v>#####</v>
      </c>
      <c r="DZ9" s="48">
        <f t="shared" si="41"/>
        <v>60000</v>
      </c>
      <c r="EA9" s="49"/>
      <c r="EB9" s="48"/>
      <c r="EC9" s="48">
        <v>15000</v>
      </c>
      <c r="ED9" s="48">
        <v>3000</v>
      </c>
      <c r="EE9" s="50"/>
      <c r="EF9" s="48"/>
      <c r="EG9" s="20">
        <f t="shared" si="42"/>
        <v>42000</v>
      </c>
      <c r="EH9" s="51" t="str">
        <f t="shared" si="43"/>
        <v>PASCALINE MBONGEH</v>
      </c>
    </row>
    <row r="10" spans="1:138" ht="12.75" customHeight="1">
      <c r="A10" s="1">
        <v>16</v>
      </c>
      <c r="B10" s="2" t="s">
        <v>41</v>
      </c>
      <c r="C10" s="1" t="s">
        <v>42</v>
      </c>
      <c r="D10" s="1"/>
      <c r="E10" s="1" t="s">
        <v>43</v>
      </c>
      <c r="F10" s="1"/>
      <c r="G10" s="1" t="s">
        <v>44</v>
      </c>
      <c r="H10" s="1" t="s">
        <v>45</v>
      </c>
      <c r="I10" s="3">
        <v>29899</v>
      </c>
      <c r="J10" s="3">
        <v>45170</v>
      </c>
      <c r="K10" s="3"/>
      <c r="L10" s="3"/>
      <c r="M10" s="3" t="s">
        <v>5</v>
      </c>
      <c r="N10" s="3" t="s">
        <v>46</v>
      </c>
      <c r="O10" s="4"/>
      <c r="P10" s="4">
        <v>675607626</v>
      </c>
      <c r="Q10" s="3" t="s">
        <v>7</v>
      </c>
      <c r="R10" s="52">
        <v>2</v>
      </c>
      <c r="S10" s="3"/>
      <c r="T10" s="53" t="s">
        <v>9</v>
      </c>
      <c r="U10" s="54">
        <f t="shared" si="0"/>
        <v>45383</v>
      </c>
      <c r="V10" s="54" t="str">
        <f t="shared" si="0"/>
        <v>31/04/2024</v>
      </c>
      <c r="W10" s="5" t="str">
        <f t="shared" si="0"/>
        <v>#####</v>
      </c>
      <c r="X10" s="5" t="str">
        <f t="shared" si="0"/>
        <v>#####</v>
      </c>
      <c r="Y10" s="55"/>
      <c r="Z10" s="56"/>
      <c r="AA10" s="57">
        <v>0.24623803009575923</v>
      </c>
      <c r="AB10" s="56"/>
      <c r="AC10" s="56">
        <v>45000</v>
      </c>
      <c r="AD10" s="58">
        <v>0</v>
      </c>
      <c r="AE10" s="14">
        <f t="shared" si="1"/>
        <v>45000</v>
      </c>
      <c r="AF10" s="59">
        <v>2500</v>
      </c>
      <c r="AG10" s="56">
        <v>2500</v>
      </c>
      <c r="AH10" s="56"/>
      <c r="AI10" s="56"/>
      <c r="AJ10" s="56"/>
      <c r="AK10" s="56"/>
      <c r="AL10" s="56"/>
      <c r="AM10" s="56"/>
      <c r="AN10" s="56"/>
      <c r="AO10" s="58"/>
      <c r="AP10" s="59">
        <f t="shared" si="2"/>
        <v>5000</v>
      </c>
      <c r="AQ10" s="56">
        <f t="shared" si="3"/>
        <v>50000</v>
      </c>
      <c r="AR10" s="58"/>
      <c r="AS10" s="60"/>
      <c r="AT10" s="61"/>
      <c r="AU10" s="61"/>
      <c r="AV10" s="56"/>
      <c r="AW10" s="56"/>
      <c r="AX10" s="56">
        <f t="shared" si="4"/>
        <v>171</v>
      </c>
      <c r="AY10" s="56">
        <f t="shared" si="5"/>
        <v>450</v>
      </c>
      <c r="AZ10" s="56">
        <f t="shared" si="6"/>
        <v>0</v>
      </c>
      <c r="BA10" s="56">
        <f t="shared" si="7"/>
        <v>621</v>
      </c>
      <c r="BB10" s="56">
        <f t="shared" si="8"/>
        <v>1890.0000000000002</v>
      </c>
      <c r="BC10" s="56">
        <f t="shared" si="9"/>
        <v>0</v>
      </c>
      <c r="BD10" s="56">
        <f t="shared" si="10"/>
        <v>0</v>
      </c>
      <c r="BE10" s="56">
        <f t="shared" si="11"/>
        <v>1890.0000000000002</v>
      </c>
      <c r="BF10" s="56">
        <f t="shared" si="12"/>
        <v>0</v>
      </c>
      <c r="BG10" s="56">
        <f t="shared" si="13"/>
        <v>0</v>
      </c>
      <c r="BH10" s="56">
        <f t="shared" si="14"/>
        <v>675</v>
      </c>
      <c r="BI10" s="56">
        <f t="shared" si="15"/>
        <v>450</v>
      </c>
      <c r="BJ10" s="56">
        <f t="shared" si="16"/>
        <v>1125</v>
      </c>
      <c r="BK10" s="56">
        <f t="shared" si="17"/>
        <v>1890.0000000000002</v>
      </c>
      <c r="BL10" s="56">
        <f t="shared" si="18"/>
        <v>3150.0000000000005</v>
      </c>
      <c r="BM10" s="56">
        <f t="shared" si="19"/>
        <v>787.50000000000011</v>
      </c>
      <c r="BN10" s="56">
        <f t="shared" si="20"/>
        <v>5827.5000000000009</v>
      </c>
      <c r="BO10" s="56">
        <f t="shared" si="21"/>
        <v>1746</v>
      </c>
      <c r="BP10" s="56">
        <f t="shared" si="22"/>
        <v>7717.5000000000009</v>
      </c>
      <c r="BQ10" s="56">
        <f t="shared" si="23"/>
        <v>9463.5</v>
      </c>
      <c r="BR10" s="56"/>
      <c r="BS10" s="56"/>
      <c r="BT10" s="62"/>
      <c r="BU10" s="63">
        <f t="shared" si="24"/>
        <v>16</v>
      </c>
      <c r="BV10" s="64" t="str">
        <f t="shared" si="24"/>
        <v>Mr</v>
      </c>
      <c r="BW10" s="64" t="str">
        <f t="shared" si="24"/>
        <v>JOEL NGALA NGWA</v>
      </c>
      <c r="BX10" s="65" t="str">
        <f t="shared" si="25"/>
        <v>Class 5B</v>
      </c>
      <c r="BY10" s="66">
        <f t="shared" si="26"/>
        <v>45383</v>
      </c>
      <c r="BZ10" s="66" t="str">
        <f t="shared" si="26"/>
        <v>31/04/2024</v>
      </c>
      <c r="CA10" s="67" t="str">
        <f t="shared" si="26"/>
        <v>#####</v>
      </c>
      <c r="CB10" s="68" t="str">
        <f t="shared" si="26"/>
        <v>#####</v>
      </c>
      <c r="CC10" s="69">
        <f t="shared" si="27"/>
        <v>45000</v>
      </c>
      <c r="CD10" s="70">
        <f t="shared" si="28"/>
        <v>5000</v>
      </c>
      <c r="CE10" s="71">
        <f t="shared" si="29"/>
        <v>1746</v>
      </c>
      <c r="CF10" s="67">
        <f t="shared" si="29"/>
        <v>7717.5000000000009</v>
      </c>
      <c r="CG10" s="67">
        <f t="shared" si="29"/>
        <v>9463.5</v>
      </c>
      <c r="CH10" s="67">
        <f t="shared" si="30"/>
        <v>50000</v>
      </c>
      <c r="CI10" s="72"/>
      <c r="CJ10" s="73"/>
      <c r="CK10" s="63">
        <f t="shared" si="31"/>
        <v>16</v>
      </c>
      <c r="CL10" s="64" t="str">
        <f t="shared" si="31"/>
        <v>Mr</v>
      </c>
      <c r="CM10" s="64" t="str">
        <f t="shared" si="31"/>
        <v>JOEL NGALA NGWA</v>
      </c>
      <c r="CN10" s="74" t="str">
        <f t="shared" si="31"/>
        <v>Class 5B</v>
      </c>
      <c r="CO10" s="69">
        <f t="shared" si="32"/>
        <v>0</v>
      </c>
      <c r="CP10" s="67">
        <f t="shared" si="32"/>
        <v>171</v>
      </c>
      <c r="CQ10" s="67">
        <f t="shared" si="32"/>
        <v>450</v>
      </c>
      <c r="CR10" s="67">
        <f t="shared" si="32"/>
        <v>0</v>
      </c>
      <c r="CS10" s="70">
        <f t="shared" si="32"/>
        <v>621</v>
      </c>
      <c r="CT10" s="71">
        <f t="shared" si="33"/>
        <v>0</v>
      </c>
      <c r="CU10" s="67">
        <f t="shared" si="33"/>
        <v>0</v>
      </c>
      <c r="CV10" s="67">
        <f t="shared" si="33"/>
        <v>675</v>
      </c>
      <c r="CW10" s="67">
        <f t="shared" si="33"/>
        <v>450</v>
      </c>
      <c r="CX10" s="68">
        <f t="shared" si="33"/>
        <v>1125</v>
      </c>
      <c r="CY10" s="75">
        <f t="shared" si="34"/>
        <v>1746</v>
      </c>
      <c r="CZ10" s="72"/>
      <c r="DA10" s="76"/>
      <c r="DB10" s="63">
        <f t="shared" si="35"/>
        <v>16</v>
      </c>
      <c r="DC10" s="64" t="str">
        <f t="shared" si="35"/>
        <v>Mr</v>
      </c>
      <c r="DD10" s="64" t="str">
        <f t="shared" si="35"/>
        <v>JOEL NGALA NGWA</v>
      </c>
      <c r="DE10" s="74" t="str">
        <f t="shared" si="35"/>
        <v>Class 5B</v>
      </c>
      <c r="DF10" s="77">
        <f t="shared" si="36"/>
        <v>621</v>
      </c>
      <c r="DG10" s="64">
        <f t="shared" si="36"/>
        <v>1890.0000000000002</v>
      </c>
      <c r="DH10" s="64">
        <f t="shared" si="36"/>
        <v>0</v>
      </c>
      <c r="DI10" s="64">
        <f t="shared" si="36"/>
        <v>0</v>
      </c>
      <c r="DJ10" s="78">
        <f t="shared" si="36"/>
        <v>1890.0000000000002</v>
      </c>
      <c r="DK10" s="79">
        <f t="shared" si="37"/>
        <v>1890.0000000000002</v>
      </c>
      <c r="DL10" s="80">
        <f t="shared" si="37"/>
        <v>3150.0000000000005</v>
      </c>
      <c r="DM10" s="80">
        <f t="shared" si="37"/>
        <v>787.50000000000011</v>
      </c>
      <c r="DN10" s="80">
        <f t="shared" si="37"/>
        <v>5827.5000000000009</v>
      </c>
      <c r="DO10" s="81">
        <f t="shared" si="38"/>
        <v>7717.5000000000009</v>
      </c>
      <c r="DP10" s="82"/>
      <c r="DQ10" s="82"/>
      <c r="DR10" s="83">
        <f t="shared" si="39"/>
        <v>16</v>
      </c>
      <c r="DS10" s="64" t="str">
        <f t="shared" si="39"/>
        <v>Mr</v>
      </c>
      <c r="DT10" s="64" t="str">
        <f t="shared" si="39"/>
        <v>JOEL NGALA NGWA</v>
      </c>
      <c r="DU10" s="84" t="str">
        <f t="shared" si="39"/>
        <v>Class 5B</v>
      </c>
      <c r="DV10" s="85">
        <f t="shared" si="39"/>
        <v>45383</v>
      </c>
      <c r="DW10" s="86" t="str">
        <f t="shared" si="39"/>
        <v>31/04/2024</v>
      </c>
      <c r="DX10" s="87" t="str">
        <f t="shared" si="40"/>
        <v>#####</v>
      </c>
      <c r="DY10" s="47" t="str">
        <f t="shared" si="39"/>
        <v>#####</v>
      </c>
      <c r="DZ10" s="50">
        <f t="shared" si="41"/>
        <v>50000</v>
      </c>
      <c r="EA10" s="88"/>
      <c r="EB10" s="50"/>
      <c r="EC10" s="50">
        <v>15000</v>
      </c>
      <c r="ED10" s="50">
        <v>3000</v>
      </c>
      <c r="EE10" s="50"/>
      <c r="EF10" s="50"/>
      <c r="EG10" s="64">
        <f t="shared" si="42"/>
        <v>32000</v>
      </c>
      <c r="EH10" s="51" t="str">
        <f t="shared" si="43"/>
        <v>JOEL NGALA NGWA</v>
      </c>
    </row>
    <row r="11" spans="1:138" ht="12.75" customHeight="1">
      <c r="A11" s="1">
        <v>17</v>
      </c>
      <c r="B11" s="2" t="s">
        <v>0</v>
      </c>
      <c r="C11" s="1" t="s">
        <v>47</v>
      </c>
      <c r="D11" s="1"/>
      <c r="E11" s="1" t="s">
        <v>48</v>
      </c>
      <c r="F11" s="1"/>
      <c r="G11" s="1" t="s">
        <v>49</v>
      </c>
      <c r="H11" s="1" t="s">
        <v>50</v>
      </c>
      <c r="I11" s="3">
        <v>36252</v>
      </c>
      <c r="J11" s="3">
        <v>44805</v>
      </c>
      <c r="K11" s="3"/>
      <c r="L11" s="3">
        <v>58167</v>
      </c>
      <c r="M11" s="3" t="s">
        <v>15</v>
      </c>
      <c r="N11" s="3" t="s">
        <v>6</v>
      </c>
      <c r="O11" s="4">
        <v>659095909</v>
      </c>
      <c r="P11" s="4">
        <v>679383032</v>
      </c>
      <c r="Q11" s="3" t="s">
        <v>17</v>
      </c>
      <c r="R11" s="5">
        <v>0</v>
      </c>
      <c r="S11" s="6" t="s">
        <v>8</v>
      </c>
      <c r="T11" s="7" t="s">
        <v>51</v>
      </c>
      <c r="U11" s="8">
        <f t="shared" si="0"/>
        <v>45383</v>
      </c>
      <c r="V11" s="8" t="str">
        <f t="shared" si="0"/>
        <v>31/04/2024</v>
      </c>
      <c r="W11" s="5" t="str">
        <f t="shared" si="0"/>
        <v>#####</v>
      </c>
      <c r="X11" s="5" t="str">
        <f t="shared" si="0"/>
        <v>#####</v>
      </c>
      <c r="Y11" s="9"/>
      <c r="Z11" s="10"/>
      <c r="AA11" s="11">
        <v>1.2448700410396716</v>
      </c>
      <c r="AB11" s="12"/>
      <c r="AC11" s="12">
        <v>48000</v>
      </c>
      <c r="AD11" s="13">
        <v>1000</v>
      </c>
      <c r="AE11" s="14">
        <f t="shared" si="1"/>
        <v>49000</v>
      </c>
      <c r="AF11" s="15">
        <v>2500</v>
      </c>
      <c r="AG11" s="10">
        <v>2500</v>
      </c>
      <c r="AH11" s="16"/>
      <c r="AI11" s="12"/>
      <c r="AJ11" s="12"/>
      <c r="AK11" s="12"/>
      <c r="AL11" s="12"/>
      <c r="AM11" s="12"/>
      <c r="AN11" s="12"/>
      <c r="AO11" s="13"/>
      <c r="AP11" s="15">
        <f t="shared" si="2"/>
        <v>5000</v>
      </c>
      <c r="AQ11" s="10">
        <f t="shared" si="3"/>
        <v>54000</v>
      </c>
      <c r="AR11" s="13"/>
      <c r="AS11" s="17"/>
      <c r="AT11" s="10"/>
      <c r="AU11" s="10"/>
      <c r="AV11" s="12"/>
      <c r="AW11" s="12"/>
      <c r="AX11" s="12">
        <f t="shared" si="4"/>
        <v>186.2</v>
      </c>
      <c r="AY11" s="12">
        <f t="shared" si="5"/>
        <v>490</v>
      </c>
      <c r="AZ11" s="12">
        <f t="shared" si="6"/>
        <v>0</v>
      </c>
      <c r="BA11" s="12">
        <f t="shared" si="7"/>
        <v>676.2</v>
      </c>
      <c r="BB11" s="12">
        <f t="shared" si="8"/>
        <v>2058</v>
      </c>
      <c r="BC11" s="12">
        <f t="shared" si="9"/>
        <v>0</v>
      </c>
      <c r="BD11" s="12">
        <f t="shared" si="10"/>
        <v>0</v>
      </c>
      <c r="BE11" s="12">
        <f t="shared" si="11"/>
        <v>2058</v>
      </c>
      <c r="BF11" s="12">
        <f t="shared" si="12"/>
        <v>0</v>
      </c>
      <c r="BG11" s="12">
        <f t="shared" si="13"/>
        <v>0</v>
      </c>
      <c r="BH11" s="12">
        <f t="shared" si="14"/>
        <v>735</v>
      </c>
      <c r="BI11" s="12">
        <f t="shared" si="15"/>
        <v>490</v>
      </c>
      <c r="BJ11" s="12">
        <f t="shared" si="16"/>
        <v>1225</v>
      </c>
      <c r="BK11" s="12">
        <f t="shared" si="17"/>
        <v>2058</v>
      </c>
      <c r="BL11" s="12">
        <f t="shared" si="18"/>
        <v>3430.0000000000005</v>
      </c>
      <c r="BM11" s="12">
        <f t="shared" si="19"/>
        <v>857.50000000000011</v>
      </c>
      <c r="BN11" s="12">
        <f t="shared" si="20"/>
        <v>6345.5</v>
      </c>
      <c r="BO11" s="12">
        <f t="shared" si="21"/>
        <v>1901.2</v>
      </c>
      <c r="BP11" s="10">
        <f t="shared" si="22"/>
        <v>8403.5</v>
      </c>
      <c r="BQ11" s="10">
        <f t="shared" si="23"/>
        <v>10304.700000000001</v>
      </c>
      <c r="BR11" s="12"/>
      <c r="BS11" s="12"/>
      <c r="BT11" s="18"/>
      <c r="BU11" s="19">
        <f t="shared" si="24"/>
        <v>17</v>
      </c>
      <c r="BV11" s="20" t="str">
        <f t="shared" si="24"/>
        <v>Mrs</v>
      </c>
      <c r="BW11" s="20" t="str">
        <f t="shared" si="24"/>
        <v>MANGEH SANDRINE</v>
      </c>
      <c r="BX11" s="21" t="str">
        <f t="shared" si="25"/>
        <v>Class 3A</v>
      </c>
      <c r="BY11" s="22">
        <f t="shared" si="26"/>
        <v>45383</v>
      </c>
      <c r="BZ11" s="22" t="str">
        <f t="shared" si="26"/>
        <v>31/04/2024</v>
      </c>
      <c r="CA11" s="23" t="str">
        <f t="shared" si="26"/>
        <v>#####</v>
      </c>
      <c r="CB11" s="24" t="str">
        <f t="shared" si="26"/>
        <v>#####</v>
      </c>
      <c r="CC11" s="25">
        <f t="shared" si="27"/>
        <v>49000</v>
      </c>
      <c r="CD11" s="26">
        <f t="shared" si="28"/>
        <v>5000</v>
      </c>
      <c r="CE11" s="27">
        <f t="shared" si="29"/>
        <v>1901.2</v>
      </c>
      <c r="CF11" s="28">
        <f t="shared" si="29"/>
        <v>8403.5</v>
      </c>
      <c r="CG11" s="28">
        <f t="shared" si="29"/>
        <v>10304.700000000001</v>
      </c>
      <c r="CH11" s="23">
        <f t="shared" si="30"/>
        <v>54000</v>
      </c>
      <c r="CI11" s="29"/>
      <c r="CJ11" s="30"/>
      <c r="CK11" s="19">
        <f t="shared" si="31"/>
        <v>17</v>
      </c>
      <c r="CL11" s="20" t="str">
        <f t="shared" si="31"/>
        <v>Mrs</v>
      </c>
      <c r="CM11" s="20" t="str">
        <f t="shared" si="31"/>
        <v>MANGEH SANDRINE</v>
      </c>
      <c r="CN11" s="31" t="str">
        <f t="shared" si="31"/>
        <v>Class 3A</v>
      </c>
      <c r="CO11" s="25">
        <f t="shared" si="32"/>
        <v>0</v>
      </c>
      <c r="CP11" s="23">
        <f t="shared" si="32"/>
        <v>186.2</v>
      </c>
      <c r="CQ11" s="23">
        <f t="shared" si="32"/>
        <v>490</v>
      </c>
      <c r="CR11" s="23">
        <f t="shared" si="32"/>
        <v>0</v>
      </c>
      <c r="CS11" s="32">
        <f t="shared" si="32"/>
        <v>676.2</v>
      </c>
      <c r="CT11" s="33">
        <f t="shared" si="33"/>
        <v>0</v>
      </c>
      <c r="CU11" s="23">
        <f t="shared" si="33"/>
        <v>0</v>
      </c>
      <c r="CV11" s="23">
        <f t="shared" si="33"/>
        <v>735</v>
      </c>
      <c r="CW11" s="23">
        <f t="shared" si="33"/>
        <v>490</v>
      </c>
      <c r="CX11" s="24">
        <f t="shared" si="33"/>
        <v>1225</v>
      </c>
      <c r="CY11" s="34">
        <f t="shared" si="34"/>
        <v>1901.2</v>
      </c>
      <c r="CZ11" s="29"/>
      <c r="DA11" s="35"/>
      <c r="DB11" s="19">
        <f t="shared" si="35"/>
        <v>17</v>
      </c>
      <c r="DC11" s="20" t="str">
        <f t="shared" si="35"/>
        <v>Mrs</v>
      </c>
      <c r="DD11" s="20" t="str">
        <f t="shared" si="35"/>
        <v>MANGEH SANDRINE</v>
      </c>
      <c r="DE11" s="31" t="str">
        <f t="shared" si="35"/>
        <v>Class 3A</v>
      </c>
      <c r="DF11" s="36">
        <f t="shared" si="36"/>
        <v>676.2</v>
      </c>
      <c r="DG11" s="20">
        <f t="shared" si="36"/>
        <v>2058</v>
      </c>
      <c r="DH11" s="20">
        <f t="shared" si="36"/>
        <v>0</v>
      </c>
      <c r="DI11" s="20">
        <f t="shared" si="36"/>
        <v>0</v>
      </c>
      <c r="DJ11" s="37">
        <f t="shared" si="36"/>
        <v>2058</v>
      </c>
      <c r="DK11" s="38">
        <f t="shared" si="37"/>
        <v>2058</v>
      </c>
      <c r="DL11" s="39">
        <f t="shared" si="37"/>
        <v>3430.0000000000005</v>
      </c>
      <c r="DM11" s="40">
        <f t="shared" si="37"/>
        <v>857.50000000000011</v>
      </c>
      <c r="DN11" s="39">
        <f t="shared" si="37"/>
        <v>6345.5</v>
      </c>
      <c r="DO11" s="41">
        <f t="shared" si="38"/>
        <v>8403.5</v>
      </c>
      <c r="DP11" s="42"/>
      <c r="DQ11" s="42"/>
      <c r="DR11" s="43">
        <f t="shared" si="39"/>
        <v>17</v>
      </c>
      <c r="DS11" s="20" t="str">
        <f t="shared" si="39"/>
        <v>Mrs</v>
      </c>
      <c r="DT11" s="20" t="str">
        <f t="shared" si="39"/>
        <v>MANGEH SANDRINE</v>
      </c>
      <c r="DU11" s="44" t="str">
        <f t="shared" si="39"/>
        <v>Class 3A</v>
      </c>
      <c r="DV11" s="45">
        <f t="shared" si="39"/>
        <v>45383</v>
      </c>
      <c r="DW11" s="46" t="str">
        <f t="shared" si="39"/>
        <v>31/04/2024</v>
      </c>
      <c r="DX11" s="47" t="str">
        <f t="shared" si="40"/>
        <v>#####</v>
      </c>
      <c r="DY11" s="47" t="str">
        <f>CB11</f>
        <v>#####</v>
      </c>
      <c r="DZ11" s="48">
        <f t="shared" si="41"/>
        <v>54000</v>
      </c>
      <c r="EA11" s="49"/>
      <c r="EB11" s="48"/>
      <c r="EC11" s="48">
        <v>15000</v>
      </c>
      <c r="ED11" s="48">
        <v>3000</v>
      </c>
      <c r="EE11" s="50"/>
      <c r="EF11" s="48"/>
      <c r="EG11" s="20">
        <f t="shared" si="42"/>
        <v>36000</v>
      </c>
      <c r="EH11" s="51" t="str">
        <f t="shared" si="43"/>
        <v>MANGEH SANDRINE</v>
      </c>
    </row>
    <row r="12" spans="1:138" ht="12.75" customHeight="1">
      <c r="A12" s="1">
        <v>18</v>
      </c>
      <c r="B12" s="2" t="s">
        <v>0</v>
      </c>
      <c r="C12" s="1" t="s">
        <v>52</v>
      </c>
      <c r="D12" s="1" t="s">
        <v>53</v>
      </c>
      <c r="E12" s="1" t="s">
        <v>54</v>
      </c>
      <c r="F12" s="1"/>
      <c r="G12" s="1" t="s">
        <v>55</v>
      </c>
      <c r="H12" s="1" t="s">
        <v>56</v>
      </c>
      <c r="I12" s="3">
        <v>32344</v>
      </c>
      <c r="J12" s="3">
        <v>44440</v>
      </c>
      <c r="K12" s="3"/>
      <c r="L12" s="3">
        <v>54259</v>
      </c>
      <c r="M12" s="3" t="s">
        <v>57</v>
      </c>
      <c r="N12" s="3" t="s">
        <v>6</v>
      </c>
      <c r="O12" s="4"/>
      <c r="P12" s="4">
        <v>652368850</v>
      </c>
      <c r="Q12" s="3" t="s">
        <v>17</v>
      </c>
      <c r="R12" s="52"/>
      <c r="S12" s="3" t="s">
        <v>8</v>
      </c>
      <c r="T12" s="53"/>
      <c r="U12" s="54">
        <f t="shared" si="0"/>
        <v>45383</v>
      </c>
      <c r="V12" s="54" t="str">
        <f t="shared" si="0"/>
        <v>31/04/2024</v>
      </c>
      <c r="W12" s="5" t="str">
        <f t="shared" si="0"/>
        <v>#####</v>
      </c>
      <c r="X12" s="5" t="str">
        <f t="shared" si="0"/>
        <v>#####</v>
      </c>
      <c r="Y12" s="55"/>
      <c r="Z12" s="56"/>
      <c r="AA12" s="57">
        <v>2.243502051983584</v>
      </c>
      <c r="AB12" s="56"/>
      <c r="AC12" s="56">
        <v>49000</v>
      </c>
      <c r="AD12" s="58">
        <v>2000</v>
      </c>
      <c r="AE12" s="14">
        <f t="shared" si="1"/>
        <v>51000</v>
      </c>
      <c r="AF12" s="59">
        <v>2500</v>
      </c>
      <c r="AG12" s="56">
        <v>2500</v>
      </c>
      <c r="AH12" s="56"/>
      <c r="AI12" s="56"/>
      <c r="AJ12" s="56"/>
      <c r="AK12" s="56"/>
      <c r="AL12" s="56"/>
      <c r="AM12" s="56"/>
      <c r="AN12" s="56"/>
      <c r="AO12" s="58"/>
      <c r="AP12" s="59">
        <f t="shared" si="2"/>
        <v>5000</v>
      </c>
      <c r="AQ12" s="56">
        <f t="shared" si="3"/>
        <v>56000</v>
      </c>
      <c r="AR12" s="58"/>
      <c r="AS12" s="60"/>
      <c r="AT12" s="61"/>
      <c r="AU12" s="61"/>
      <c r="AV12" s="56"/>
      <c r="AW12" s="56"/>
      <c r="AX12" s="56">
        <f t="shared" si="4"/>
        <v>193.8</v>
      </c>
      <c r="AY12" s="56">
        <f t="shared" si="5"/>
        <v>510</v>
      </c>
      <c r="AZ12" s="56">
        <f t="shared" si="6"/>
        <v>0</v>
      </c>
      <c r="BA12" s="56">
        <f t="shared" si="7"/>
        <v>703.8</v>
      </c>
      <c r="BB12" s="56">
        <f t="shared" si="8"/>
        <v>2142</v>
      </c>
      <c r="BC12" s="56">
        <f t="shared" si="9"/>
        <v>0</v>
      </c>
      <c r="BD12" s="56">
        <f t="shared" si="10"/>
        <v>0</v>
      </c>
      <c r="BE12" s="56">
        <f t="shared" si="11"/>
        <v>2142</v>
      </c>
      <c r="BF12" s="56">
        <f t="shared" si="12"/>
        <v>0</v>
      </c>
      <c r="BG12" s="56">
        <f t="shared" si="13"/>
        <v>0</v>
      </c>
      <c r="BH12" s="56">
        <f t="shared" si="14"/>
        <v>765</v>
      </c>
      <c r="BI12" s="56">
        <f t="shared" si="15"/>
        <v>510</v>
      </c>
      <c r="BJ12" s="56">
        <f t="shared" si="16"/>
        <v>1275</v>
      </c>
      <c r="BK12" s="56">
        <f t="shared" si="17"/>
        <v>2142</v>
      </c>
      <c r="BL12" s="56">
        <f t="shared" si="18"/>
        <v>3570.0000000000005</v>
      </c>
      <c r="BM12" s="56">
        <f t="shared" si="19"/>
        <v>892.50000000000011</v>
      </c>
      <c r="BN12" s="56">
        <f t="shared" si="20"/>
        <v>6604.5</v>
      </c>
      <c r="BO12" s="56">
        <f t="shared" si="21"/>
        <v>1978.8</v>
      </c>
      <c r="BP12" s="56">
        <f t="shared" si="22"/>
        <v>8746.5</v>
      </c>
      <c r="BQ12" s="56">
        <f t="shared" si="23"/>
        <v>10725.3</v>
      </c>
      <c r="BR12" s="56"/>
      <c r="BS12" s="56"/>
      <c r="BT12" s="62"/>
      <c r="BU12" s="63">
        <f t="shared" si="24"/>
        <v>18</v>
      </c>
      <c r="BV12" s="64" t="str">
        <f t="shared" si="24"/>
        <v>Mrs</v>
      </c>
      <c r="BW12" s="64" t="str">
        <f t="shared" si="24"/>
        <v>TENDONGMOH DELPHINE</v>
      </c>
      <c r="BX12" s="65" t="str">
        <f t="shared" si="25"/>
        <v>Class 4A</v>
      </c>
      <c r="BY12" s="66">
        <f t="shared" si="26"/>
        <v>45383</v>
      </c>
      <c r="BZ12" s="66" t="str">
        <f t="shared" si="26"/>
        <v>31/04/2024</v>
      </c>
      <c r="CA12" s="67" t="str">
        <f t="shared" si="26"/>
        <v>#####</v>
      </c>
      <c r="CB12" s="68" t="str">
        <f t="shared" si="26"/>
        <v>#####</v>
      </c>
      <c r="CC12" s="69">
        <f t="shared" si="27"/>
        <v>51000</v>
      </c>
      <c r="CD12" s="70">
        <f t="shared" si="28"/>
        <v>5000</v>
      </c>
      <c r="CE12" s="71">
        <f t="shared" si="29"/>
        <v>1978.8</v>
      </c>
      <c r="CF12" s="67">
        <f t="shared" si="29"/>
        <v>8746.5</v>
      </c>
      <c r="CG12" s="67">
        <f t="shared" si="29"/>
        <v>10725.3</v>
      </c>
      <c r="CH12" s="67">
        <f t="shared" si="30"/>
        <v>56000</v>
      </c>
      <c r="CI12" s="72"/>
      <c r="CJ12" s="73"/>
      <c r="CK12" s="63">
        <f t="shared" si="31"/>
        <v>18</v>
      </c>
      <c r="CL12" s="64" t="str">
        <f t="shared" si="31"/>
        <v>Mrs</v>
      </c>
      <c r="CM12" s="64" t="str">
        <f t="shared" si="31"/>
        <v>TENDONGMOH DELPHINE</v>
      </c>
      <c r="CN12" s="74" t="str">
        <f t="shared" si="31"/>
        <v>Class 4A</v>
      </c>
      <c r="CO12" s="69">
        <f t="shared" si="32"/>
        <v>0</v>
      </c>
      <c r="CP12" s="67">
        <f t="shared" si="32"/>
        <v>193.8</v>
      </c>
      <c r="CQ12" s="67">
        <f t="shared" si="32"/>
        <v>510</v>
      </c>
      <c r="CR12" s="67">
        <f t="shared" si="32"/>
        <v>0</v>
      </c>
      <c r="CS12" s="70">
        <f t="shared" si="32"/>
        <v>703.8</v>
      </c>
      <c r="CT12" s="71">
        <f t="shared" si="33"/>
        <v>0</v>
      </c>
      <c r="CU12" s="67">
        <f t="shared" si="33"/>
        <v>0</v>
      </c>
      <c r="CV12" s="67">
        <f t="shared" si="33"/>
        <v>765</v>
      </c>
      <c r="CW12" s="67">
        <f t="shared" si="33"/>
        <v>510</v>
      </c>
      <c r="CX12" s="68">
        <f t="shared" si="33"/>
        <v>1275</v>
      </c>
      <c r="CY12" s="75">
        <f t="shared" si="34"/>
        <v>1978.8</v>
      </c>
      <c r="CZ12" s="72"/>
      <c r="DA12" s="76"/>
      <c r="DB12" s="63">
        <f t="shared" si="35"/>
        <v>18</v>
      </c>
      <c r="DC12" s="64" t="str">
        <f t="shared" si="35"/>
        <v>Mrs</v>
      </c>
      <c r="DD12" s="64" t="str">
        <f t="shared" si="35"/>
        <v>TENDONGMOH DELPHINE</v>
      </c>
      <c r="DE12" s="74" t="str">
        <f t="shared" si="35"/>
        <v>Class 4A</v>
      </c>
      <c r="DF12" s="77">
        <f t="shared" si="36"/>
        <v>703.8</v>
      </c>
      <c r="DG12" s="64">
        <f t="shared" si="36"/>
        <v>2142</v>
      </c>
      <c r="DH12" s="64">
        <f t="shared" si="36"/>
        <v>0</v>
      </c>
      <c r="DI12" s="64">
        <f t="shared" si="36"/>
        <v>0</v>
      </c>
      <c r="DJ12" s="78">
        <f t="shared" si="36"/>
        <v>2142</v>
      </c>
      <c r="DK12" s="79">
        <f t="shared" si="37"/>
        <v>2142</v>
      </c>
      <c r="DL12" s="80">
        <f t="shared" si="37"/>
        <v>3570.0000000000005</v>
      </c>
      <c r="DM12" s="80">
        <f t="shared" si="37"/>
        <v>892.50000000000011</v>
      </c>
      <c r="DN12" s="80">
        <f t="shared" si="37"/>
        <v>6604.5</v>
      </c>
      <c r="DO12" s="81">
        <f t="shared" si="38"/>
        <v>8746.5</v>
      </c>
      <c r="DP12" s="82"/>
      <c r="DQ12" s="82"/>
      <c r="DR12" s="83">
        <f t="shared" si="39"/>
        <v>18</v>
      </c>
      <c r="DS12" s="64" t="str">
        <f t="shared" si="39"/>
        <v>Mrs</v>
      </c>
      <c r="DT12" s="64" t="str">
        <f t="shared" si="39"/>
        <v>TENDONGMOH DELPHINE</v>
      </c>
      <c r="DU12" s="84" t="str">
        <f t="shared" si="39"/>
        <v>Class 4A</v>
      </c>
      <c r="DV12" s="85">
        <f t="shared" si="39"/>
        <v>45383</v>
      </c>
      <c r="DW12" s="86" t="str">
        <f t="shared" si="39"/>
        <v>31/04/2024</v>
      </c>
      <c r="DX12" s="87" t="str">
        <f t="shared" si="40"/>
        <v>#####</v>
      </c>
      <c r="DY12" s="47" t="str">
        <f>CB12</f>
        <v>#####</v>
      </c>
      <c r="DZ12" s="50">
        <f t="shared" si="41"/>
        <v>56000</v>
      </c>
      <c r="EA12" s="88"/>
      <c r="EB12" s="50"/>
      <c r="EC12" s="50">
        <v>15000</v>
      </c>
      <c r="ED12" s="50">
        <v>3000</v>
      </c>
      <c r="EE12" s="50"/>
      <c r="EF12" s="50"/>
      <c r="EG12" s="64">
        <f t="shared" si="42"/>
        <v>38000</v>
      </c>
      <c r="EH12" s="51" t="str">
        <f t="shared" si="43"/>
        <v>TENDONGMOH DELPHINE</v>
      </c>
    </row>
    <row r="13" spans="1:138" ht="12.75" customHeight="1">
      <c r="A13" s="1">
        <v>19</v>
      </c>
      <c r="B13" s="2" t="s">
        <v>0</v>
      </c>
      <c r="C13" s="1" t="s">
        <v>58</v>
      </c>
      <c r="D13" s="1"/>
      <c r="E13" s="1" t="s">
        <v>59</v>
      </c>
      <c r="F13" s="1"/>
      <c r="G13" s="1" t="s">
        <v>60</v>
      </c>
      <c r="H13" s="1" t="s">
        <v>61</v>
      </c>
      <c r="I13" s="3">
        <v>31418</v>
      </c>
      <c r="J13" s="3">
        <v>45170</v>
      </c>
      <c r="K13" s="3"/>
      <c r="L13" s="3"/>
      <c r="M13" s="3" t="s">
        <v>62</v>
      </c>
      <c r="N13" s="3" t="s">
        <v>6</v>
      </c>
      <c r="O13" s="4"/>
      <c r="P13" s="4">
        <v>677852568</v>
      </c>
      <c r="Q13" s="3" t="s">
        <v>7</v>
      </c>
      <c r="R13" s="5">
        <v>5</v>
      </c>
      <c r="S13" s="6" t="s">
        <v>8</v>
      </c>
      <c r="T13" s="7" t="s">
        <v>9</v>
      </c>
      <c r="U13" s="8">
        <f t="shared" si="0"/>
        <v>45383</v>
      </c>
      <c r="V13" s="8" t="str">
        <f t="shared" si="0"/>
        <v>31/04/2024</v>
      </c>
      <c r="W13" s="5" t="str">
        <f t="shared" si="0"/>
        <v>#####</v>
      </c>
      <c r="X13" s="5" t="str">
        <f t="shared" si="0"/>
        <v>#####</v>
      </c>
      <c r="Y13" s="9"/>
      <c r="Z13" s="10"/>
      <c r="AA13" s="11">
        <v>0.24623803009575923</v>
      </c>
      <c r="AB13" s="12"/>
      <c r="AC13" s="12">
        <v>45000</v>
      </c>
      <c r="AD13" s="13">
        <v>0</v>
      </c>
      <c r="AE13" s="14">
        <f t="shared" si="1"/>
        <v>45000</v>
      </c>
      <c r="AF13" s="15">
        <v>2500</v>
      </c>
      <c r="AG13" s="10">
        <v>2500</v>
      </c>
      <c r="AH13" s="16"/>
      <c r="AI13" s="12"/>
      <c r="AJ13" s="12"/>
      <c r="AK13" s="12"/>
      <c r="AL13" s="12"/>
      <c r="AM13" s="12"/>
      <c r="AN13" s="12"/>
      <c r="AO13" s="13"/>
      <c r="AP13" s="15">
        <f t="shared" si="2"/>
        <v>5000</v>
      </c>
      <c r="AQ13" s="10">
        <f t="shared" si="3"/>
        <v>50000</v>
      </c>
      <c r="AR13" s="13"/>
      <c r="AS13" s="17"/>
      <c r="AT13" s="10"/>
      <c r="AU13" s="10"/>
      <c r="AV13" s="12"/>
      <c r="AW13" s="12"/>
      <c r="AX13" s="12">
        <f t="shared" si="4"/>
        <v>171</v>
      </c>
      <c r="AY13" s="12">
        <f t="shared" si="5"/>
        <v>450</v>
      </c>
      <c r="AZ13" s="12">
        <f t="shared" si="6"/>
        <v>0</v>
      </c>
      <c r="BA13" s="12">
        <f t="shared" si="7"/>
        <v>621</v>
      </c>
      <c r="BB13" s="12">
        <f t="shared" si="8"/>
        <v>1890.0000000000002</v>
      </c>
      <c r="BC13" s="12">
        <f t="shared" si="9"/>
        <v>0</v>
      </c>
      <c r="BD13" s="12">
        <f t="shared" si="10"/>
        <v>0</v>
      </c>
      <c r="BE13" s="12">
        <f t="shared" si="11"/>
        <v>1890.0000000000002</v>
      </c>
      <c r="BF13" s="12">
        <f t="shared" si="12"/>
        <v>0</v>
      </c>
      <c r="BG13" s="12">
        <f t="shared" si="13"/>
        <v>0</v>
      </c>
      <c r="BH13" s="12">
        <f t="shared" si="14"/>
        <v>675</v>
      </c>
      <c r="BI13" s="12">
        <f t="shared" si="15"/>
        <v>450</v>
      </c>
      <c r="BJ13" s="12">
        <f t="shared" si="16"/>
        <v>1125</v>
      </c>
      <c r="BK13" s="12">
        <f t="shared" si="17"/>
        <v>1890.0000000000002</v>
      </c>
      <c r="BL13" s="12">
        <f t="shared" si="18"/>
        <v>3150.0000000000005</v>
      </c>
      <c r="BM13" s="12">
        <f t="shared" si="19"/>
        <v>787.50000000000011</v>
      </c>
      <c r="BN13" s="12">
        <f t="shared" si="20"/>
        <v>5827.5000000000009</v>
      </c>
      <c r="BO13" s="12">
        <f t="shared" si="21"/>
        <v>1746</v>
      </c>
      <c r="BP13" s="10">
        <f t="shared" si="22"/>
        <v>7717.5000000000009</v>
      </c>
      <c r="BQ13" s="10">
        <f t="shared" si="23"/>
        <v>9463.5</v>
      </c>
      <c r="BR13" s="12"/>
      <c r="BS13" s="12"/>
      <c r="BT13" s="18"/>
      <c r="BU13" s="19">
        <f t="shared" si="24"/>
        <v>19</v>
      </c>
      <c r="BV13" s="20" t="str">
        <f t="shared" si="24"/>
        <v>Mrs</v>
      </c>
      <c r="BW13" s="20" t="str">
        <f t="shared" si="24"/>
        <v>AZONGOKOH SUZAN EGOFU</v>
      </c>
      <c r="BX13" s="21" t="str">
        <f t="shared" si="25"/>
        <v>Class 4B</v>
      </c>
      <c r="BY13" s="22">
        <f t="shared" si="26"/>
        <v>45383</v>
      </c>
      <c r="BZ13" s="22" t="str">
        <f t="shared" si="26"/>
        <v>31/04/2024</v>
      </c>
      <c r="CA13" s="23" t="str">
        <f t="shared" si="26"/>
        <v>#####</v>
      </c>
      <c r="CB13" s="24" t="str">
        <f t="shared" si="26"/>
        <v>#####</v>
      </c>
      <c r="CC13" s="25">
        <f t="shared" si="27"/>
        <v>45000</v>
      </c>
      <c r="CD13" s="26">
        <f t="shared" si="28"/>
        <v>5000</v>
      </c>
      <c r="CE13" s="27">
        <f t="shared" si="29"/>
        <v>1746</v>
      </c>
      <c r="CF13" s="28">
        <f t="shared" si="29"/>
        <v>7717.5000000000009</v>
      </c>
      <c r="CG13" s="28">
        <f t="shared" si="29"/>
        <v>9463.5</v>
      </c>
      <c r="CH13" s="23">
        <f t="shared" si="30"/>
        <v>50000</v>
      </c>
      <c r="CI13" s="29"/>
      <c r="CJ13" s="30"/>
      <c r="CK13" s="19">
        <f t="shared" si="31"/>
        <v>19</v>
      </c>
      <c r="CL13" s="20" t="str">
        <f t="shared" si="31"/>
        <v>Mrs</v>
      </c>
      <c r="CM13" s="20" t="str">
        <f t="shared" si="31"/>
        <v>AZONGOKOH SUZAN EGOFU</v>
      </c>
      <c r="CN13" s="31" t="str">
        <f t="shared" si="31"/>
        <v>Class 4B</v>
      </c>
      <c r="CO13" s="25">
        <f t="shared" si="32"/>
        <v>0</v>
      </c>
      <c r="CP13" s="23">
        <f t="shared" si="32"/>
        <v>171</v>
      </c>
      <c r="CQ13" s="23">
        <f t="shared" si="32"/>
        <v>450</v>
      </c>
      <c r="CR13" s="23">
        <f t="shared" si="32"/>
        <v>0</v>
      </c>
      <c r="CS13" s="32">
        <f t="shared" si="32"/>
        <v>621</v>
      </c>
      <c r="CT13" s="33">
        <f t="shared" si="33"/>
        <v>0</v>
      </c>
      <c r="CU13" s="23">
        <f t="shared" si="33"/>
        <v>0</v>
      </c>
      <c r="CV13" s="23">
        <f t="shared" si="33"/>
        <v>675</v>
      </c>
      <c r="CW13" s="23">
        <f t="shared" si="33"/>
        <v>450</v>
      </c>
      <c r="CX13" s="24">
        <f t="shared" si="33"/>
        <v>1125</v>
      </c>
      <c r="CY13" s="34">
        <f t="shared" si="34"/>
        <v>1746</v>
      </c>
      <c r="CZ13" s="29"/>
      <c r="DA13" s="35"/>
      <c r="DB13" s="19">
        <f t="shared" si="35"/>
        <v>19</v>
      </c>
      <c r="DC13" s="20" t="str">
        <f t="shared" si="35"/>
        <v>Mrs</v>
      </c>
      <c r="DD13" s="20" t="str">
        <f t="shared" si="35"/>
        <v>AZONGOKOH SUZAN EGOFU</v>
      </c>
      <c r="DE13" s="31" t="str">
        <f t="shared" si="35"/>
        <v>Class 4B</v>
      </c>
      <c r="DF13" s="36">
        <f t="shared" si="36"/>
        <v>621</v>
      </c>
      <c r="DG13" s="20">
        <f t="shared" si="36"/>
        <v>1890.0000000000002</v>
      </c>
      <c r="DH13" s="20">
        <f t="shared" si="36"/>
        <v>0</v>
      </c>
      <c r="DI13" s="20">
        <f t="shared" si="36"/>
        <v>0</v>
      </c>
      <c r="DJ13" s="37">
        <f t="shared" si="36"/>
        <v>1890.0000000000002</v>
      </c>
      <c r="DK13" s="38">
        <f t="shared" si="37"/>
        <v>1890.0000000000002</v>
      </c>
      <c r="DL13" s="39">
        <f t="shared" si="37"/>
        <v>3150.0000000000005</v>
      </c>
      <c r="DM13" s="40">
        <f t="shared" si="37"/>
        <v>787.50000000000011</v>
      </c>
      <c r="DN13" s="39">
        <f t="shared" si="37"/>
        <v>5827.5000000000009</v>
      </c>
      <c r="DO13" s="41">
        <f t="shared" si="38"/>
        <v>7717.5000000000009</v>
      </c>
      <c r="DP13" s="42"/>
      <c r="DQ13" s="42"/>
      <c r="DR13" s="43">
        <f t="shared" si="39"/>
        <v>19</v>
      </c>
      <c r="DS13" s="20" t="str">
        <f t="shared" si="39"/>
        <v>Mrs</v>
      </c>
      <c r="DT13" s="20" t="str">
        <f t="shared" si="39"/>
        <v>AZONGOKOH SUZAN EGOFU</v>
      </c>
      <c r="DU13" s="44" t="str">
        <f t="shared" si="39"/>
        <v>Class 4B</v>
      </c>
      <c r="DV13" s="45">
        <f t="shared" si="39"/>
        <v>45383</v>
      </c>
      <c r="DW13" s="46" t="str">
        <f t="shared" si="39"/>
        <v>31/04/2024</v>
      </c>
      <c r="DX13" s="47" t="str">
        <f t="shared" si="40"/>
        <v>#####</v>
      </c>
      <c r="DY13" s="47" t="str">
        <f>CB13</f>
        <v>#####</v>
      </c>
      <c r="DZ13" s="48">
        <f t="shared" si="41"/>
        <v>50000</v>
      </c>
      <c r="EA13" s="49"/>
      <c r="EB13" s="48"/>
      <c r="EC13" s="48">
        <v>15000</v>
      </c>
      <c r="ED13" s="48">
        <v>3000</v>
      </c>
      <c r="EE13" s="50"/>
      <c r="EF13" s="48"/>
      <c r="EG13" s="20">
        <f t="shared" si="42"/>
        <v>32000</v>
      </c>
      <c r="EH13" s="51" t="str">
        <f t="shared" si="43"/>
        <v>AZONGOKOH SUZAN EGOFU</v>
      </c>
    </row>
    <row r="14" spans="1:138" ht="15.75" customHeight="1">
      <c r="A14" s="1">
        <v>20</v>
      </c>
      <c r="B14" s="2" t="s">
        <v>0</v>
      </c>
      <c r="C14" s="1" t="s">
        <v>63</v>
      </c>
      <c r="D14" s="1" t="s">
        <v>64</v>
      </c>
      <c r="E14" s="1" t="s">
        <v>65</v>
      </c>
      <c r="F14" s="1" t="s">
        <v>66</v>
      </c>
      <c r="G14" s="1" t="s">
        <v>67</v>
      </c>
      <c r="H14" s="1" t="s">
        <v>68</v>
      </c>
      <c r="I14" s="3">
        <v>30967</v>
      </c>
      <c r="J14" s="3">
        <v>43845</v>
      </c>
      <c r="K14" s="3"/>
      <c r="L14" s="3">
        <v>52882</v>
      </c>
      <c r="M14" s="3" t="s">
        <v>33</v>
      </c>
      <c r="N14" s="3" t="s">
        <v>69</v>
      </c>
      <c r="O14" s="4">
        <v>696236453</v>
      </c>
      <c r="P14" s="4"/>
      <c r="Q14" s="3" t="s">
        <v>70</v>
      </c>
      <c r="R14" s="52">
        <v>2</v>
      </c>
      <c r="S14" s="3" t="s">
        <v>8</v>
      </c>
      <c r="T14" s="53" t="s">
        <v>71</v>
      </c>
      <c r="U14" s="54">
        <f t="shared" si="0"/>
        <v>45383</v>
      </c>
      <c r="V14" s="54" t="str">
        <f t="shared" si="0"/>
        <v>31/04/2024</v>
      </c>
      <c r="W14" s="5" t="str">
        <f t="shared" si="0"/>
        <v>#####</v>
      </c>
      <c r="X14" s="5" t="str">
        <f t="shared" si="0"/>
        <v>#####</v>
      </c>
      <c r="Y14" s="55"/>
      <c r="Z14" s="56"/>
      <c r="AA14" s="57">
        <v>3.8714090287277703</v>
      </c>
      <c r="AB14" s="56"/>
      <c r="AC14" s="56">
        <v>48000</v>
      </c>
      <c r="AD14" s="58">
        <v>4000</v>
      </c>
      <c r="AE14" s="14">
        <f t="shared" si="1"/>
        <v>52000</v>
      </c>
      <c r="AF14" s="59">
        <v>2500</v>
      </c>
      <c r="AG14" s="56">
        <v>2500</v>
      </c>
      <c r="AH14" s="56"/>
      <c r="AI14" s="56"/>
      <c r="AJ14" s="56"/>
      <c r="AK14" s="56"/>
      <c r="AL14" s="56"/>
      <c r="AM14" s="56"/>
      <c r="AN14" s="56"/>
      <c r="AO14" s="58"/>
      <c r="AP14" s="59">
        <f t="shared" si="2"/>
        <v>5000</v>
      </c>
      <c r="AQ14" s="56">
        <f t="shared" si="3"/>
        <v>57000</v>
      </c>
      <c r="AR14" s="58"/>
      <c r="AS14" s="60"/>
      <c r="AT14" s="61"/>
      <c r="AU14" s="61"/>
      <c r="AV14" s="56"/>
      <c r="AW14" s="56"/>
      <c r="AX14" s="56">
        <f t="shared" si="4"/>
        <v>197.6</v>
      </c>
      <c r="AY14" s="56">
        <f t="shared" si="5"/>
        <v>520</v>
      </c>
      <c r="AZ14" s="56">
        <f t="shared" si="6"/>
        <v>0</v>
      </c>
      <c r="BA14" s="56">
        <f t="shared" si="7"/>
        <v>717.6</v>
      </c>
      <c r="BB14" s="56">
        <f t="shared" si="8"/>
        <v>2184</v>
      </c>
      <c r="BC14" s="56">
        <f t="shared" si="9"/>
        <v>0</v>
      </c>
      <c r="BD14" s="56">
        <f t="shared" si="10"/>
        <v>0</v>
      </c>
      <c r="BE14" s="56">
        <f t="shared" si="11"/>
        <v>2184</v>
      </c>
      <c r="BF14" s="56">
        <f t="shared" si="12"/>
        <v>0</v>
      </c>
      <c r="BG14" s="56">
        <f t="shared" si="13"/>
        <v>0</v>
      </c>
      <c r="BH14" s="56">
        <f t="shared" si="14"/>
        <v>780</v>
      </c>
      <c r="BI14" s="56">
        <f t="shared" si="15"/>
        <v>520</v>
      </c>
      <c r="BJ14" s="56">
        <f t="shared" si="16"/>
        <v>1300</v>
      </c>
      <c r="BK14" s="56">
        <f t="shared" si="17"/>
        <v>2184</v>
      </c>
      <c r="BL14" s="56">
        <f t="shared" si="18"/>
        <v>3640.0000000000005</v>
      </c>
      <c r="BM14" s="56">
        <f t="shared" si="19"/>
        <v>910.00000000000011</v>
      </c>
      <c r="BN14" s="56">
        <f t="shared" si="20"/>
        <v>6734</v>
      </c>
      <c r="BO14" s="56">
        <f t="shared" si="21"/>
        <v>2017.6</v>
      </c>
      <c r="BP14" s="56">
        <f t="shared" si="22"/>
        <v>8918</v>
      </c>
      <c r="BQ14" s="56">
        <f t="shared" si="23"/>
        <v>10935.6</v>
      </c>
      <c r="BR14" s="56"/>
      <c r="BS14" s="56"/>
      <c r="BT14" s="62"/>
      <c r="BU14" s="63">
        <f t="shared" si="24"/>
        <v>20</v>
      </c>
      <c r="BV14" s="64" t="str">
        <f t="shared" si="24"/>
        <v>Mrs</v>
      </c>
      <c r="BW14" s="64" t="str">
        <f t="shared" si="24"/>
        <v>TFUMGAH TUME EDITH</v>
      </c>
      <c r="BX14" s="65" t="str">
        <f t="shared" si="25"/>
        <v>Class 5A</v>
      </c>
      <c r="BY14" s="66">
        <f t="shared" si="26"/>
        <v>45383</v>
      </c>
      <c r="BZ14" s="66" t="str">
        <f t="shared" si="26"/>
        <v>31/04/2024</v>
      </c>
      <c r="CA14" s="67" t="str">
        <f t="shared" si="26"/>
        <v>#####</v>
      </c>
      <c r="CB14" s="68" t="str">
        <f t="shared" si="26"/>
        <v>#####</v>
      </c>
      <c r="CC14" s="69">
        <f t="shared" si="27"/>
        <v>52000</v>
      </c>
      <c r="CD14" s="70">
        <f t="shared" si="28"/>
        <v>5000</v>
      </c>
      <c r="CE14" s="71">
        <f t="shared" si="29"/>
        <v>2017.6</v>
      </c>
      <c r="CF14" s="67">
        <f t="shared" si="29"/>
        <v>8918</v>
      </c>
      <c r="CG14" s="67">
        <f t="shared" si="29"/>
        <v>10935.6</v>
      </c>
      <c r="CH14" s="67">
        <f t="shared" si="30"/>
        <v>57000</v>
      </c>
      <c r="CI14" s="72"/>
      <c r="CJ14" s="73"/>
      <c r="CK14" s="63">
        <f t="shared" si="31"/>
        <v>20</v>
      </c>
      <c r="CL14" s="64" t="str">
        <f t="shared" si="31"/>
        <v>Mrs</v>
      </c>
      <c r="CM14" s="64" t="str">
        <f t="shared" si="31"/>
        <v>TFUMGAH TUME EDITH</v>
      </c>
      <c r="CN14" s="74" t="str">
        <f t="shared" si="31"/>
        <v>Class 5A</v>
      </c>
      <c r="CO14" s="69">
        <f t="shared" si="32"/>
        <v>0</v>
      </c>
      <c r="CP14" s="67">
        <f t="shared" si="32"/>
        <v>197.6</v>
      </c>
      <c r="CQ14" s="67">
        <f t="shared" si="32"/>
        <v>520</v>
      </c>
      <c r="CR14" s="67">
        <f t="shared" si="32"/>
        <v>0</v>
      </c>
      <c r="CS14" s="70">
        <f t="shared" si="32"/>
        <v>717.6</v>
      </c>
      <c r="CT14" s="71">
        <f t="shared" si="33"/>
        <v>0</v>
      </c>
      <c r="CU14" s="67">
        <f t="shared" si="33"/>
        <v>0</v>
      </c>
      <c r="CV14" s="67">
        <f t="shared" si="33"/>
        <v>780</v>
      </c>
      <c r="CW14" s="67">
        <f t="shared" si="33"/>
        <v>520</v>
      </c>
      <c r="CX14" s="68">
        <f t="shared" si="33"/>
        <v>1300</v>
      </c>
      <c r="CY14" s="75">
        <f t="shared" si="34"/>
        <v>2017.6</v>
      </c>
      <c r="CZ14" s="72"/>
      <c r="DA14" s="76"/>
      <c r="DB14" s="63">
        <f t="shared" si="35"/>
        <v>20</v>
      </c>
      <c r="DC14" s="64" t="str">
        <f t="shared" si="35"/>
        <v>Mrs</v>
      </c>
      <c r="DD14" s="64" t="str">
        <f t="shared" si="35"/>
        <v>TFUMGAH TUME EDITH</v>
      </c>
      <c r="DE14" s="74" t="str">
        <f t="shared" si="35"/>
        <v>Class 5A</v>
      </c>
      <c r="DF14" s="77">
        <f t="shared" si="36"/>
        <v>717.6</v>
      </c>
      <c r="DG14" s="64">
        <f t="shared" si="36"/>
        <v>2184</v>
      </c>
      <c r="DH14" s="64">
        <f t="shared" si="36"/>
        <v>0</v>
      </c>
      <c r="DI14" s="64">
        <f t="shared" si="36"/>
        <v>0</v>
      </c>
      <c r="DJ14" s="78">
        <f t="shared" si="36"/>
        <v>2184</v>
      </c>
      <c r="DK14" s="79">
        <f t="shared" si="37"/>
        <v>2184</v>
      </c>
      <c r="DL14" s="80">
        <f t="shared" si="37"/>
        <v>3640.0000000000005</v>
      </c>
      <c r="DM14" s="80">
        <f t="shared" si="37"/>
        <v>910.00000000000011</v>
      </c>
      <c r="DN14" s="80">
        <f t="shared" si="37"/>
        <v>6734</v>
      </c>
      <c r="DO14" s="81">
        <f t="shared" si="38"/>
        <v>8918</v>
      </c>
      <c r="DP14" s="82"/>
      <c r="DQ14" s="82"/>
      <c r="DR14" s="83">
        <f t="shared" si="39"/>
        <v>20</v>
      </c>
      <c r="DS14" s="64" t="str">
        <f t="shared" si="39"/>
        <v>Mrs</v>
      </c>
      <c r="DT14" s="64" t="str">
        <f t="shared" si="39"/>
        <v>TFUMGAH TUME EDITH</v>
      </c>
      <c r="DU14" s="84" t="str">
        <f t="shared" si="39"/>
        <v>Class 5A</v>
      </c>
      <c r="DV14" s="85">
        <f t="shared" si="39"/>
        <v>45383</v>
      </c>
      <c r="DW14" s="86" t="str">
        <f t="shared" si="39"/>
        <v>31/04/2024</v>
      </c>
      <c r="DX14" s="87" t="str">
        <f t="shared" si="40"/>
        <v>#####</v>
      </c>
      <c r="DY14" s="47">
        <v>19</v>
      </c>
      <c r="DZ14" s="50">
        <f t="shared" si="41"/>
        <v>57000</v>
      </c>
      <c r="EA14" s="88"/>
      <c r="EB14" s="50">
        <v>10000</v>
      </c>
      <c r="EC14" s="50">
        <v>15000</v>
      </c>
      <c r="ED14" s="50">
        <v>3000</v>
      </c>
      <c r="EE14" s="50"/>
      <c r="EF14" s="50"/>
      <c r="EG14" s="64">
        <f t="shared" si="42"/>
        <v>29000</v>
      </c>
      <c r="EH14" s="51" t="str">
        <f t="shared" si="43"/>
        <v>TFUMGAH TUME EDITH</v>
      </c>
    </row>
    <row r="15" spans="1:138" ht="14.25" customHeight="1">
      <c r="A15" s="1">
        <v>21</v>
      </c>
      <c r="B15" s="2" t="s">
        <v>26</v>
      </c>
      <c r="C15" s="1" t="s">
        <v>72</v>
      </c>
      <c r="D15" s="1" t="s">
        <v>73</v>
      </c>
      <c r="E15" s="1" t="s">
        <v>74</v>
      </c>
      <c r="F15" s="1" t="s">
        <v>75</v>
      </c>
      <c r="G15" s="1" t="s">
        <v>76</v>
      </c>
      <c r="H15" s="1" t="s">
        <v>77</v>
      </c>
      <c r="I15" s="3">
        <v>33169</v>
      </c>
      <c r="J15" s="3">
        <v>43344</v>
      </c>
      <c r="K15" s="3"/>
      <c r="L15" s="3">
        <v>55084</v>
      </c>
      <c r="M15" s="3" t="s">
        <v>15</v>
      </c>
      <c r="N15" s="3" t="s">
        <v>69</v>
      </c>
      <c r="O15" s="4">
        <v>698611106</v>
      </c>
      <c r="P15" s="4">
        <v>676832833</v>
      </c>
      <c r="Q15" s="3" t="s">
        <v>17</v>
      </c>
      <c r="R15" s="5">
        <v>0</v>
      </c>
      <c r="S15" s="6" t="s">
        <v>8</v>
      </c>
      <c r="T15" s="7" t="s">
        <v>9</v>
      </c>
      <c r="U15" s="8">
        <f t="shared" si="0"/>
        <v>45383</v>
      </c>
      <c r="V15" s="8" t="str">
        <f t="shared" si="0"/>
        <v>31/04/2024</v>
      </c>
      <c r="W15" s="5" t="str">
        <f t="shared" si="0"/>
        <v>#####</v>
      </c>
      <c r="X15" s="5" t="str">
        <f t="shared" si="0"/>
        <v>#####</v>
      </c>
      <c r="Y15" s="9"/>
      <c r="Z15" s="10"/>
      <c r="AA15" s="11">
        <v>5.2421340629274962</v>
      </c>
      <c r="AB15" s="12"/>
      <c r="AC15" s="12">
        <v>59000</v>
      </c>
      <c r="AD15" s="13">
        <v>6000</v>
      </c>
      <c r="AE15" s="14">
        <f t="shared" si="1"/>
        <v>65000</v>
      </c>
      <c r="AF15" s="15">
        <v>2500</v>
      </c>
      <c r="AG15" s="10">
        <v>2500</v>
      </c>
      <c r="AH15" s="16"/>
      <c r="AI15" s="12"/>
      <c r="AJ15" s="12"/>
      <c r="AK15" s="12"/>
      <c r="AL15" s="12"/>
      <c r="AM15" s="12"/>
      <c r="AN15" s="12"/>
      <c r="AO15" s="13"/>
      <c r="AP15" s="15">
        <f t="shared" si="2"/>
        <v>5000</v>
      </c>
      <c r="AQ15" s="10">
        <f t="shared" si="3"/>
        <v>70000</v>
      </c>
      <c r="AR15" s="13"/>
      <c r="AS15" s="17"/>
      <c r="AT15" s="10"/>
      <c r="AU15" s="10"/>
      <c r="AV15" s="12"/>
      <c r="AW15" s="12"/>
      <c r="AX15" s="12">
        <f t="shared" si="4"/>
        <v>247</v>
      </c>
      <c r="AY15" s="12">
        <f t="shared" si="5"/>
        <v>650</v>
      </c>
      <c r="AZ15" s="12">
        <f t="shared" si="6"/>
        <v>0</v>
      </c>
      <c r="BA15" s="12">
        <f t="shared" si="7"/>
        <v>897</v>
      </c>
      <c r="BB15" s="12">
        <f t="shared" si="8"/>
        <v>2730</v>
      </c>
      <c r="BC15" s="12">
        <f t="shared" si="9"/>
        <v>0</v>
      </c>
      <c r="BD15" s="12">
        <f t="shared" si="10"/>
        <v>0</v>
      </c>
      <c r="BE15" s="12">
        <f t="shared" si="11"/>
        <v>2730</v>
      </c>
      <c r="BF15" s="12">
        <f t="shared" si="12"/>
        <v>0</v>
      </c>
      <c r="BG15" s="12">
        <f t="shared" si="13"/>
        <v>0</v>
      </c>
      <c r="BH15" s="12">
        <f t="shared" si="14"/>
        <v>975</v>
      </c>
      <c r="BI15" s="12">
        <f t="shared" si="15"/>
        <v>650</v>
      </c>
      <c r="BJ15" s="12">
        <f t="shared" si="16"/>
        <v>1625</v>
      </c>
      <c r="BK15" s="12">
        <f t="shared" si="17"/>
        <v>2730</v>
      </c>
      <c r="BL15" s="12">
        <f t="shared" si="18"/>
        <v>4550</v>
      </c>
      <c r="BM15" s="12">
        <f t="shared" si="19"/>
        <v>1137.5</v>
      </c>
      <c r="BN15" s="12">
        <f t="shared" si="20"/>
        <v>8417.5</v>
      </c>
      <c r="BO15" s="12">
        <f t="shared" si="21"/>
        <v>2522</v>
      </c>
      <c r="BP15" s="10">
        <f t="shared" si="22"/>
        <v>11147.5</v>
      </c>
      <c r="BQ15" s="10">
        <f t="shared" si="23"/>
        <v>13669.5</v>
      </c>
      <c r="BR15" s="12"/>
      <c r="BS15" s="12"/>
      <c r="BT15" s="18"/>
      <c r="BU15" s="19">
        <f t="shared" si="24"/>
        <v>21</v>
      </c>
      <c r="BV15" s="20" t="str">
        <f t="shared" si="24"/>
        <v xml:space="preserve">Mr </v>
      </c>
      <c r="BW15" s="20" t="str">
        <f t="shared" si="24"/>
        <v>NGWA PAUL NSOH</v>
      </c>
      <c r="BX15" s="21" t="str">
        <f t="shared" si="25"/>
        <v>Class 6B</v>
      </c>
      <c r="BY15" s="22">
        <f t="shared" si="26"/>
        <v>45383</v>
      </c>
      <c r="BZ15" s="22" t="str">
        <f t="shared" si="26"/>
        <v>31/04/2024</v>
      </c>
      <c r="CA15" s="23" t="str">
        <f t="shared" si="26"/>
        <v>#####</v>
      </c>
      <c r="CB15" s="24" t="str">
        <f t="shared" si="26"/>
        <v>#####</v>
      </c>
      <c r="CC15" s="25">
        <f t="shared" si="27"/>
        <v>65000</v>
      </c>
      <c r="CD15" s="26">
        <f t="shared" si="28"/>
        <v>5000</v>
      </c>
      <c r="CE15" s="27">
        <f t="shared" si="29"/>
        <v>2522</v>
      </c>
      <c r="CF15" s="28">
        <f t="shared" si="29"/>
        <v>11147.5</v>
      </c>
      <c r="CG15" s="28">
        <f t="shared" si="29"/>
        <v>13669.5</v>
      </c>
      <c r="CH15" s="23">
        <f t="shared" si="30"/>
        <v>70000</v>
      </c>
      <c r="CI15" s="29"/>
      <c r="CJ15" s="30"/>
      <c r="CK15" s="19">
        <f t="shared" si="31"/>
        <v>21</v>
      </c>
      <c r="CL15" s="20" t="str">
        <f t="shared" si="31"/>
        <v xml:space="preserve">Mr </v>
      </c>
      <c r="CM15" s="20" t="str">
        <f t="shared" si="31"/>
        <v>NGWA PAUL NSOH</v>
      </c>
      <c r="CN15" s="31" t="str">
        <f t="shared" si="31"/>
        <v>Class 6B</v>
      </c>
      <c r="CO15" s="25">
        <f t="shared" si="32"/>
        <v>0</v>
      </c>
      <c r="CP15" s="23">
        <f t="shared" si="32"/>
        <v>247</v>
      </c>
      <c r="CQ15" s="23">
        <f t="shared" si="32"/>
        <v>650</v>
      </c>
      <c r="CR15" s="23">
        <f t="shared" si="32"/>
        <v>0</v>
      </c>
      <c r="CS15" s="32">
        <f t="shared" si="32"/>
        <v>897</v>
      </c>
      <c r="CT15" s="33">
        <f t="shared" si="33"/>
        <v>0</v>
      </c>
      <c r="CU15" s="23">
        <f t="shared" si="33"/>
        <v>0</v>
      </c>
      <c r="CV15" s="23">
        <f t="shared" si="33"/>
        <v>975</v>
      </c>
      <c r="CW15" s="23">
        <f t="shared" si="33"/>
        <v>650</v>
      </c>
      <c r="CX15" s="24">
        <f t="shared" si="33"/>
        <v>1625</v>
      </c>
      <c r="CY15" s="34">
        <f t="shared" si="34"/>
        <v>2522</v>
      </c>
      <c r="CZ15" s="29"/>
      <c r="DA15" s="35"/>
      <c r="DB15" s="19">
        <f t="shared" si="35"/>
        <v>21</v>
      </c>
      <c r="DC15" s="20" t="str">
        <f t="shared" si="35"/>
        <v xml:space="preserve">Mr </v>
      </c>
      <c r="DD15" s="20" t="str">
        <f t="shared" si="35"/>
        <v>NGWA PAUL NSOH</v>
      </c>
      <c r="DE15" s="31" t="str">
        <f t="shared" si="35"/>
        <v>Class 6B</v>
      </c>
      <c r="DF15" s="36">
        <f t="shared" si="36"/>
        <v>897</v>
      </c>
      <c r="DG15" s="20">
        <f t="shared" si="36"/>
        <v>2730</v>
      </c>
      <c r="DH15" s="20">
        <f t="shared" si="36"/>
        <v>0</v>
      </c>
      <c r="DI15" s="20">
        <f t="shared" si="36"/>
        <v>0</v>
      </c>
      <c r="DJ15" s="37">
        <f t="shared" si="36"/>
        <v>2730</v>
      </c>
      <c r="DK15" s="38">
        <f t="shared" si="37"/>
        <v>2730</v>
      </c>
      <c r="DL15" s="39">
        <f t="shared" si="37"/>
        <v>4550</v>
      </c>
      <c r="DM15" s="40">
        <f t="shared" si="37"/>
        <v>1137.5</v>
      </c>
      <c r="DN15" s="39">
        <f t="shared" si="37"/>
        <v>8417.5</v>
      </c>
      <c r="DO15" s="41">
        <f t="shared" si="38"/>
        <v>11147.5</v>
      </c>
      <c r="DP15" s="42"/>
      <c r="DQ15" s="42"/>
      <c r="DR15" s="43">
        <f t="shared" si="39"/>
        <v>21</v>
      </c>
      <c r="DS15" s="20" t="str">
        <f t="shared" si="39"/>
        <v xml:space="preserve">Mr </v>
      </c>
      <c r="DT15" s="20" t="str">
        <f t="shared" si="39"/>
        <v>NGWA PAUL NSOH</v>
      </c>
      <c r="DU15" s="44" t="str">
        <f t="shared" si="39"/>
        <v>Class 6B</v>
      </c>
      <c r="DV15" s="45">
        <f t="shared" si="39"/>
        <v>45383</v>
      </c>
      <c r="DW15" s="46" t="str">
        <f t="shared" si="39"/>
        <v>31/04/2024</v>
      </c>
      <c r="DX15" s="47" t="str">
        <f t="shared" si="40"/>
        <v>#####</v>
      </c>
      <c r="DY15" s="47" t="str">
        <f>CB15</f>
        <v>#####</v>
      </c>
      <c r="DZ15" s="48">
        <f t="shared" si="41"/>
        <v>70000</v>
      </c>
      <c r="EA15" s="49"/>
      <c r="EB15" s="48">
        <v>10000</v>
      </c>
      <c r="EC15" s="48">
        <v>15000</v>
      </c>
      <c r="ED15" s="48">
        <v>3000</v>
      </c>
      <c r="EE15" s="50"/>
      <c r="EF15" s="48"/>
      <c r="EG15" s="20">
        <f t="shared" si="42"/>
        <v>42000</v>
      </c>
      <c r="EH15" s="51" t="str">
        <f t="shared" si="43"/>
        <v>NGWA PAUL NSOH</v>
      </c>
    </row>
    <row r="16" spans="1:138" ht="14.25" customHeight="1">
      <c r="A16" s="1">
        <v>22</v>
      </c>
      <c r="B16" s="2" t="s">
        <v>26</v>
      </c>
      <c r="C16" s="1" t="s">
        <v>78</v>
      </c>
      <c r="D16" s="1" t="s">
        <v>79</v>
      </c>
      <c r="E16" s="1" t="s">
        <v>80</v>
      </c>
      <c r="F16" s="1" t="s">
        <v>81</v>
      </c>
      <c r="G16" s="1" t="s">
        <v>82</v>
      </c>
      <c r="H16" s="1" t="s">
        <v>83</v>
      </c>
      <c r="I16" s="3">
        <v>34858</v>
      </c>
      <c r="J16" s="3">
        <v>43344</v>
      </c>
      <c r="K16" s="3"/>
      <c r="L16" s="3">
        <v>56773</v>
      </c>
      <c r="M16" s="3" t="s">
        <v>15</v>
      </c>
      <c r="N16" s="3" t="s">
        <v>16</v>
      </c>
      <c r="O16" s="4">
        <v>695530477</v>
      </c>
      <c r="P16" s="4">
        <v>672249324</v>
      </c>
      <c r="Q16" s="3" t="s">
        <v>17</v>
      </c>
      <c r="R16" s="52">
        <v>0</v>
      </c>
      <c r="S16" s="3" t="s">
        <v>8</v>
      </c>
      <c r="T16" s="53" t="s">
        <v>84</v>
      </c>
      <c r="U16" s="54">
        <f t="shared" si="0"/>
        <v>45383</v>
      </c>
      <c r="V16" s="54" t="str">
        <f t="shared" si="0"/>
        <v>31/04/2024</v>
      </c>
      <c r="W16" s="5" t="str">
        <f t="shared" si="0"/>
        <v>#####</v>
      </c>
      <c r="X16" s="5" t="str">
        <f t="shared" si="0"/>
        <v>#####</v>
      </c>
      <c r="Y16" s="55"/>
      <c r="Z16" s="56"/>
      <c r="AA16" s="57">
        <v>5.2421340629274962</v>
      </c>
      <c r="AB16" s="56"/>
      <c r="AC16" s="56">
        <v>57000</v>
      </c>
      <c r="AD16" s="58">
        <v>5000</v>
      </c>
      <c r="AE16" s="14">
        <f t="shared" si="1"/>
        <v>62000</v>
      </c>
      <c r="AF16" s="59">
        <v>2500</v>
      </c>
      <c r="AG16" s="56">
        <v>2500</v>
      </c>
      <c r="AH16" s="56"/>
      <c r="AI16" s="56"/>
      <c r="AJ16" s="56"/>
      <c r="AK16" s="56"/>
      <c r="AL16" s="56"/>
      <c r="AM16" s="56"/>
      <c r="AN16" s="56"/>
      <c r="AO16" s="58"/>
      <c r="AP16" s="59">
        <f t="shared" si="2"/>
        <v>5000</v>
      </c>
      <c r="AQ16" s="56">
        <f t="shared" si="3"/>
        <v>67000</v>
      </c>
      <c r="AR16" s="58"/>
      <c r="AS16" s="60"/>
      <c r="AT16" s="61"/>
      <c r="AU16" s="61"/>
      <c r="AV16" s="56"/>
      <c r="AW16" s="56"/>
      <c r="AX16" s="56">
        <f t="shared" si="4"/>
        <v>235.6</v>
      </c>
      <c r="AY16" s="56">
        <f t="shared" si="5"/>
        <v>620</v>
      </c>
      <c r="AZ16" s="56">
        <f t="shared" si="6"/>
        <v>0</v>
      </c>
      <c r="BA16" s="56">
        <f t="shared" si="7"/>
        <v>855.6</v>
      </c>
      <c r="BB16" s="56">
        <f t="shared" si="8"/>
        <v>2604</v>
      </c>
      <c r="BC16" s="56">
        <f t="shared" si="9"/>
        <v>0</v>
      </c>
      <c r="BD16" s="56">
        <f t="shared" si="10"/>
        <v>0</v>
      </c>
      <c r="BE16" s="56">
        <f t="shared" si="11"/>
        <v>2604</v>
      </c>
      <c r="BF16" s="56">
        <f t="shared" si="12"/>
        <v>0</v>
      </c>
      <c r="BG16" s="56">
        <f t="shared" si="13"/>
        <v>0</v>
      </c>
      <c r="BH16" s="56">
        <f t="shared" si="14"/>
        <v>930</v>
      </c>
      <c r="BI16" s="56">
        <f t="shared" si="15"/>
        <v>620</v>
      </c>
      <c r="BJ16" s="56">
        <f t="shared" si="16"/>
        <v>1550</v>
      </c>
      <c r="BK16" s="56">
        <f t="shared" si="17"/>
        <v>2604</v>
      </c>
      <c r="BL16" s="56">
        <f t="shared" si="18"/>
        <v>4340</v>
      </c>
      <c r="BM16" s="56">
        <f t="shared" si="19"/>
        <v>1085</v>
      </c>
      <c r="BN16" s="56">
        <f t="shared" si="20"/>
        <v>8029</v>
      </c>
      <c r="BO16" s="56">
        <f t="shared" si="21"/>
        <v>2405.6</v>
      </c>
      <c r="BP16" s="56">
        <f t="shared" si="22"/>
        <v>10633</v>
      </c>
      <c r="BQ16" s="56">
        <f t="shared" si="23"/>
        <v>13038.6</v>
      </c>
      <c r="BR16" s="56"/>
      <c r="BS16" s="56"/>
      <c r="BT16" s="62"/>
      <c r="BU16" s="63">
        <f t="shared" si="24"/>
        <v>22</v>
      </c>
      <c r="BV16" s="64" t="str">
        <f t="shared" si="24"/>
        <v xml:space="preserve">Mr </v>
      </c>
      <c r="BW16" s="64" t="str">
        <f t="shared" si="24"/>
        <v>FRU DIDIER ACHIRI</v>
      </c>
      <c r="BX16" s="65" t="str">
        <f t="shared" si="25"/>
        <v>Class 6A</v>
      </c>
      <c r="BY16" s="66">
        <f t="shared" si="26"/>
        <v>45383</v>
      </c>
      <c r="BZ16" s="66" t="str">
        <f t="shared" si="26"/>
        <v>31/04/2024</v>
      </c>
      <c r="CA16" s="67" t="str">
        <f t="shared" si="26"/>
        <v>#####</v>
      </c>
      <c r="CB16" s="68" t="str">
        <f t="shared" si="26"/>
        <v>#####</v>
      </c>
      <c r="CC16" s="69">
        <f t="shared" si="27"/>
        <v>62000</v>
      </c>
      <c r="CD16" s="70">
        <f t="shared" si="28"/>
        <v>5000</v>
      </c>
      <c r="CE16" s="71">
        <f t="shared" si="29"/>
        <v>2405.6</v>
      </c>
      <c r="CF16" s="67">
        <f t="shared" si="29"/>
        <v>10633</v>
      </c>
      <c r="CG16" s="67">
        <f t="shared" si="29"/>
        <v>13038.6</v>
      </c>
      <c r="CH16" s="67">
        <f t="shared" si="30"/>
        <v>67000</v>
      </c>
      <c r="CI16" s="72"/>
      <c r="CJ16" s="73"/>
      <c r="CK16" s="63">
        <f t="shared" si="31"/>
        <v>22</v>
      </c>
      <c r="CL16" s="64" t="str">
        <f t="shared" si="31"/>
        <v xml:space="preserve">Mr </v>
      </c>
      <c r="CM16" s="64" t="str">
        <f t="shared" si="31"/>
        <v>FRU DIDIER ACHIRI</v>
      </c>
      <c r="CN16" s="74" t="str">
        <f t="shared" si="31"/>
        <v>Class 6A</v>
      </c>
      <c r="CO16" s="69">
        <f t="shared" si="32"/>
        <v>0</v>
      </c>
      <c r="CP16" s="67">
        <f t="shared" si="32"/>
        <v>235.6</v>
      </c>
      <c r="CQ16" s="67">
        <f t="shared" si="32"/>
        <v>620</v>
      </c>
      <c r="CR16" s="67">
        <f t="shared" si="32"/>
        <v>0</v>
      </c>
      <c r="CS16" s="70">
        <f t="shared" si="32"/>
        <v>855.6</v>
      </c>
      <c r="CT16" s="71">
        <f t="shared" si="33"/>
        <v>0</v>
      </c>
      <c r="CU16" s="67">
        <f t="shared" si="33"/>
        <v>0</v>
      </c>
      <c r="CV16" s="67">
        <f t="shared" si="33"/>
        <v>930</v>
      </c>
      <c r="CW16" s="67">
        <f t="shared" si="33"/>
        <v>620</v>
      </c>
      <c r="CX16" s="68">
        <f t="shared" si="33"/>
        <v>1550</v>
      </c>
      <c r="CY16" s="75">
        <f t="shared" si="34"/>
        <v>2405.6</v>
      </c>
      <c r="CZ16" s="72"/>
      <c r="DA16" s="76"/>
      <c r="DB16" s="63">
        <f t="shared" si="35"/>
        <v>22</v>
      </c>
      <c r="DC16" s="64" t="str">
        <f t="shared" si="35"/>
        <v xml:space="preserve">Mr </v>
      </c>
      <c r="DD16" s="64" t="str">
        <f t="shared" si="35"/>
        <v>FRU DIDIER ACHIRI</v>
      </c>
      <c r="DE16" s="74" t="str">
        <f t="shared" si="35"/>
        <v>Class 6A</v>
      </c>
      <c r="DF16" s="77">
        <f t="shared" si="36"/>
        <v>855.6</v>
      </c>
      <c r="DG16" s="64">
        <f t="shared" si="36"/>
        <v>2604</v>
      </c>
      <c r="DH16" s="64">
        <f t="shared" si="36"/>
        <v>0</v>
      </c>
      <c r="DI16" s="64">
        <f t="shared" si="36"/>
        <v>0</v>
      </c>
      <c r="DJ16" s="78">
        <f t="shared" si="36"/>
        <v>2604</v>
      </c>
      <c r="DK16" s="79">
        <f t="shared" si="37"/>
        <v>2604</v>
      </c>
      <c r="DL16" s="80">
        <f t="shared" si="37"/>
        <v>4340</v>
      </c>
      <c r="DM16" s="80">
        <f t="shared" si="37"/>
        <v>1085</v>
      </c>
      <c r="DN16" s="80">
        <f t="shared" si="37"/>
        <v>8029</v>
      </c>
      <c r="DO16" s="81">
        <f t="shared" si="38"/>
        <v>10633</v>
      </c>
      <c r="DP16" s="82"/>
      <c r="DQ16" s="82"/>
      <c r="DR16" s="83">
        <f t="shared" si="39"/>
        <v>22</v>
      </c>
      <c r="DS16" s="64" t="str">
        <f t="shared" si="39"/>
        <v xml:space="preserve">Mr </v>
      </c>
      <c r="DT16" s="64" t="str">
        <f t="shared" si="39"/>
        <v>FRU DIDIER ACHIRI</v>
      </c>
      <c r="DU16" s="84" t="str">
        <f t="shared" si="39"/>
        <v>Class 6A</v>
      </c>
      <c r="DV16" s="85">
        <f t="shared" si="39"/>
        <v>45383</v>
      </c>
      <c r="DW16" s="86" t="str">
        <f t="shared" si="39"/>
        <v>31/04/2024</v>
      </c>
      <c r="DX16" s="87" t="str">
        <f t="shared" si="40"/>
        <v>#####</v>
      </c>
      <c r="DY16" s="47" t="str">
        <f>CB16</f>
        <v>#####</v>
      </c>
      <c r="DZ16" s="50">
        <f t="shared" si="41"/>
        <v>67000</v>
      </c>
      <c r="EA16" s="88"/>
      <c r="EB16" s="50"/>
      <c r="EC16" s="50">
        <v>15000</v>
      </c>
      <c r="ED16" s="50">
        <v>3000</v>
      </c>
      <c r="EE16" s="50"/>
      <c r="EF16" s="50"/>
      <c r="EG16" s="64">
        <f t="shared" si="42"/>
        <v>49000</v>
      </c>
      <c r="EH16" s="51" t="str">
        <f t="shared" si="43"/>
        <v>FRU DIDIER ACHIRI</v>
      </c>
    </row>
    <row r="17" spans="1:138" ht="28.5" customHeight="1">
      <c r="A17" s="1">
        <v>23</v>
      </c>
      <c r="B17" s="2" t="s">
        <v>85</v>
      </c>
      <c r="C17" s="1" t="s">
        <v>86</v>
      </c>
      <c r="D17" s="1"/>
      <c r="E17" s="1" t="s">
        <v>87</v>
      </c>
      <c r="F17" s="1"/>
      <c r="G17" s="1" t="s">
        <v>88</v>
      </c>
      <c r="H17" s="1" t="s">
        <v>89</v>
      </c>
      <c r="I17" s="3">
        <v>35306</v>
      </c>
      <c r="J17" s="3">
        <v>44838</v>
      </c>
      <c r="K17" s="3"/>
      <c r="L17" s="3">
        <v>57221</v>
      </c>
      <c r="M17" s="3" t="s">
        <v>90</v>
      </c>
      <c r="N17" s="3" t="s">
        <v>69</v>
      </c>
      <c r="O17" s="4">
        <v>657513177</v>
      </c>
      <c r="P17" s="4">
        <v>678795556</v>
      </c>
      <c r="Q17" s="3" t="s">
        <v>17</v>
      </c>
      <c r="R17" s="5">
        <v>1</v>
      </c>
      <c r="S17" s="6" t="s">
        <v>8</v>
      </c>
      <c r="T17" s="7" t="s">
        <v>91</v>
      </c>
      <c r="U17" s="8">
        <f t="shared" si="0"/>
        <v>45383</v>
      </c>
      <c r="V17" s="8" t="str">
        <f t="shared" si="0"/>
        <v>31/04/2024</v>
      </c>
      <c r="W17" s="5" t="str">
        <f t="shared" si="0"/>
        <v>#####</v>
      </c>
      <c r="X17" s="5" t="str">
        <f t="shared" si="0"/>
        <v>#####</v>
      </c>
      <c r="Y17" s="9"/>
      <c r="Z17" s="10"/>
      <c r="AA17" s="11">
        <v>1.1545827633378933</v>
      </c>
      <c r="AB17" s="12"/>
      <c r="AC17" s="12">
        <v>42000</v>
      </c>
      <c r="AD17" s="13">
        <v>1000</v>
      </c>
      <c r="AE17" s="14">
        <f t="shared" si="1"/>
        <v>43000</v>
      </c>
      <c r="AF17" s="15">
        <v>2500</v>
      </c>
      <c r="AG17" s="10">
        <v>2500</v>
      </c>
      <c r="AH17" s="16"/>
      <c r="AI17" s="12"/>
      <c r="AJ17" s="12"/>
      <c r="AK17" s="12"/>
      <c r="AL17" s="12"/>
      <c r="AM17" s="12"/>
      <c r="AN17" s="12"/>
      <c r="AO17" s="13"/>
      <c r="AP17" s="15">
        <f t="shared" si="2"/>
        <v>5000</v>
      </c>
      <c r="AQ17" s="10">
        <f t="shared" si="3"/>
        <v>48000</v>
      </c>
      <c r="AR17" s="13"/>
      <c r="AS17" s="17"/>
      <c r="AT17" s="10"/>
      <c r="AU17" s="10"/>
      <c r="AV17" s="12"/>
      <c r="AW17" s="12"/>
      <c r="AX17" s="12">
        <f t="shared" si="4"/>
        <v>163.4</v>
      </c>
      <c r="AY17" s="12">
        <f t="shared" si="5"/>
        <v>430</v>
      </c>
      <c r="AZ17" s="12">
        <f t="shared" si="6"/>
        <v>0</v>
      </c>
      <c r="BA17" s="12">
        <f t="shared" si="7"/>
        <v>593.4</v>
      </c>
      <c r="BB17" s="12">
        <f t="shared" si="8"/>
        <v>1806</v>
      </c>
      <c r="BC17" s="12">
        <f t="shared" si="9"/>
        <v>0</v>
      </c>
      <c r="BD17" s="12">
        <f t="shared" si="10"/>
        <v>0</v>
      </c>
      <c r="BE17" s="12">
        <f t="shared" si="11"/>
        <v>1806</v>
      </c>
      <c r="BF17" s="12">
        <f t="shared" si="12"/>
        <v>0</v>
      </c>
      <c r="BG17" s="12">
        <f t="shared" si="13"/>
        <v>0</v>
      </c>
      <c r="BH17" s="12">
        <f t="shared" si="14"/>
        <v>645</v>
      </c>
      <c r="BI17" s="12">
        <f t="shared" si="15"/>
        <v>430</v>
      </c>
      <c r="BJ17" s="12">
        <f t="shared" si="16"/>
        <v>1075</v>
      </c>
      <c r="BK17" s="12">
        <f t="shared" si="17"/>
        <v>1806</v>
      </c>
      <c r="BL17" s="12">
        <f t="shared" si="18"/>
        <v>3010.0000000000005</v>
      </c>
      <c r="BM17" s="12">
        <f t="shared" si="19"/>
        <v>752.50000000000011</v>
      </c>
      <c r="BN17" s="12">
        <f t="shared" si="20"/>
        <v>5568.5</v>
      </c>
      <c r="BO17" s="12">
        <f t="shared" si="21"/>
        <v>1668.4</v>
      </c>
      <c r="BP17" s="10">
        <f t="shared" si="22"/>
        <v>7374.5</v>
      </c>
      <c r="BQ17" s="10">
        <f t="shared" si="23"/>
        <v>9042.9</v>
      </c>
      <c r="BR17" s="12"/>
      <c r="BS17" s="12"/>
      <c r="BT17" s="18"/>
      <c r="BU17" s="19">
        <f t="shared" si="24"/>
        <v>23</v>
      </c>
      <c r="BV17" s="20" t="str">
        <f t="shared" si="24"/>
        <v>Mlle</v>
      </c>
      <c r="BW17" s="20" t="str">
        <f t="shared" si="24"/>
        <v>BOIGA DJANABOU</v>
      </c>
      <c r="BX17" s="21" t="str">
        <f t="shared" si="25"/>
        <v>SIL-A</v>
      </c>
      <c r="BY17" s="22">
        <f t="shared" si="26"/>
        <v>45383</v>
      </c>
      <c r="BZ17" s="22" t="str">
        <f t="shared" si="26"/>
        <v>31/04/2024</v>
      </c>
      <c r="CA17" s="23" t="str">
        <f t="shared" si="26"/>
        <v>#####</v>
      </c>
      <c r="CB17" s="24" t="str">
        <f t="shared" si="26"/>
        <v>#####</v>
      </c>
      <c r="CC17" s="25">
        <f t="shared" si="27"/>
        <v>43000</v>
      </c>
      <c r="CD17" s="26">
        <f t="shared" si="28"/>
        <v>5000</v>
      </c>
      <c r="CE17" s="27">
        <f t="shared" si="29"/>
        <v>1668.4</v>
      </c>
      <c r="CF17" s="28">
        <f t="shared" si="29"/>
        <v>7374.5</v>
      </c>
      <c r="CG17" s="28">
        <f t="shared" si="29"/>
        <v>9042.9</v>
      </c>
      <c r="CH17" s="23">
        <f t="shared" si="30"/>
        <v>48000</v>
      </c>
      <c r="CI17" s="29"/>
      <c r="CJ17" s="30"/>
      <c r="CK17" s="19">
        <f t="shared" si="31"/>
        <v>23</v>
      </c>
      <c r="CL17" s="20" t="str">
        <f t="shared" si="31"/>
        <v>Mlle</v>
      </c>
      <c r="CM17" s="20" t="str">
        <f t="shared" si="31"/>
        <v>BOIGA DJANABOU</v>
      </c>
      <c r="CN17" s="31" t="str">
        <f t="shared" si="31"/>
        <v>SIL-A</v>
      </c>
      <c r="CO17" s="25">
        <f t="shared" si="32"/>
        <v>0</v>
      </c>
      <c r="CP17" s="23">
        <f t="shared" si="32"/>
        <v>163.4</v>
      </c>
      <c r="CQ17" s="23">
        <f t="shared" si="32"/>
        <v>430</v>
      </c>
      <c r="CR17" s="23">
        <f t="shared" si="32"/>
        <v>0</v>
      </c>
      <c r="CS17" s="32">
        <f t="shared" si="32"/>
        <v>593.4</v>
      </c>
      <c r="CT17" s="33">
        <f t="shared" si="33"/>
        <v>0</v>
      </c>
      <c r="CU17" s="23">
        <f t="shared" si="33"/>
        <v>0</v>
      </c>
      <c r="CV17" s="23">
        <f t="shared" si="33"/>
        <v>645</v>
      </c>
      <c r="CW17" s="23">
        <f t="shared" si="33"/>
        <v>430</v>
      </c>
      <c r="CX17" s="24">
        <f t="shared" si="33"/>
        <v>1075</v>
      </c>
      <c r="CY17" s="34">
        <f t="shared" si="34"/>
        <v>1668.4</v>
      </c>
      <c r="CZ17" s="29"/>
      <c r="DA17" s="35"/>
      <c r="DB17" s="19">
        <f t="shared" si="35"/>
        <v>23</v>
      </c>
      <c r="DC17" s="20" t="str">
        <f t="shared" si="35"/>
        <v>Mlle</v>
      </c>
      <c r="DD17" s="20" t="str">
        <f t="shared" si="35"/>
        <v>BOIGA DJANABOU</v>
      </c>
      <c r="DE17" s="31" t="str">
        <f t="shared" si="35"/>
        <v>SIL-A</v>
      </c>
      <c r="DF17" s="36">
        <f t="shared" si="36"/>
        <v>593.4</v>
      </c>
      <c r="DG17" s="20">
        <f t="shared" si="36"/>
        <v>1806</v>
      </c>
      <c r="DH17" s="20">
        <f t="shared" si="36"/>
        <v>0</v>
      </c>
      <c r="DI17" s="20">
        <f t="shared" si="36"/>
        <v>0</v>
      </c>
      <c r="DJ17" s="37">
        <f t="shared" si="36"/>
        <v>1806</v>
      </c>
      <c r="DK17" s="38">
        <f t="shared" si="37"/>
        <v>1806</v>
      </c>
      <c r="DL17" s="39">
        <f t="shared" si="37"/>
        <v>3010.0000000000005</v>
      </c>
      <c r="DM17" s="40">
        <f t="shared" si="37"/>
        <v>752.50000000000011</v>
      </c>
      <c r="DN17" s="39">
        <f t="shared" si="37"/>
        <v>5568.5</v>
      </c>
      <c r="DO17" s="41">
        <f t="shared" si="38"/>
        <v>7374.5</v>
      </c>
      <c r="DP17" s="42"/>
      <c r="DQ17" s="42"/>
      <c r="DR17" s="43">
        <f t="shared" si="39"/>
        <v>23</v>
      </c>
      <c r="DS17" s="20" t="str">
        <f t="shared" si="39"/>
        <v>Mlle</v>
      </c>
      <c r="DT17" s="20" t="str">
        <f t="shared" si="39"/>
        <v>BOIGA DJANABOU</v>
      </c>
      <c r="DU17" s="44" t="str">
        <f t="shared" si="39"/>
        <v>SIL-A</v>
      </c>
      <c r="DV17" s="45">
        <f t="shared" si="39"/>
        <v>45383</v>
      </c>
      <c r="DW17" s="46" t="str">
        <f t="shared" si="39"/>
        <v>31/04/2024</v>
      </c>
      <c r="DX17" s="87" t="str">
        <f t="shared" si="40"/>
        <v>#####</v>
      </c>
      <c r="DY17" s="47" t="str">
        <f t="shared" ref="DY17:DY28" si="44">CB17</f>
        <v>#####</v>
      </c>
      <c r="DZ17" s="48">
        <f t="shared" si="41"/>
        <v>48000</v>
      </c>
      <c r="EA17" s="49"/>
      <c r="EB17" s="48"/>
      <c r="EC17" s="48">
        <v>15000</v>
      </c>
      <c r="ED17" s="48">
        <v>3000</v>
      </c>
      <c r="EE17" s="50"/>
      <c r="EF17" s="48"/>
      <c r="EG17" s="20">
        <f t="shared" si="42"/>
        <v>30000</v>
      </c>
      <c r="EH17" s="51" t="str">
        <f t="shared" si="43"/>
        <v>BOIGA DJANABOU</v>
      </c>
    </row>
    <row r="18" spans="1:138" ht="18.75" customHeight="1">
      <c r="A18" s="1">
        <v>24</v>
      </c>
      <c r="B18" s="2" t="s">
        <v>85</v>
      </c>
      <c r="C18" s="1" t="s">
        <v>92</v>
      </c>
      <c r="D18" s="1"/>
      <c r="E18" s="1" t="s">
        <v>93</v>
      </c>
      <c r="F18" s="1"/>
      <c r="G18" s="1" t="s">
        <v>94</v>
      </c>
      <c r="H18" s="1" t="s">
        <v>95</v>
      </c>
      <c r="I18" s="3">
        <v>35111</v>
      </c>
      <c r="J18" s="3">
        <v>45170</v>
      </c>
      <c r="K18" s="3"/>
      <c r="L18" s="3"/>
      <c r="M18" s="3" t="s">
        <v>96</v>
      </c>
      <c r="N18" s="3" t="s">
        <v>6</v>
      </c>
      <c r="O18" s="4">
        <v>696554396</v>
      </c>
      <c r="P18" s="4">
        <v>680870717</v>
      </c>
      <c r="Q18" s="3" t="s">
        <v>17</v>
      </c>
      <c r="R18" s="52">
        <v>1</v>
      </c>
      <c r="S18" s="3" t="s">
        <v>71</v>
      </c>
      <c r="T18" s="53" t="s">
        <v>8</v>
      </c>
      <c r="U18" s="54">
        <f t="shared" si="0"/>
        <v>45383</v>
      </c>
      <c r="V18" s="54" t="str">
        <f t="shared" si="0"/>
        <v>31/04/2024</v>
      </c>
      <c r="W18" s="5" t="str">
        <f t="shared" si="0"/>
        <v>#####</v>
      </c>
      <c r="X18" s="5" t="str">
        <f t="shared" si="0"/>
        <v>#####</v>
      </c>
      <c r="Y18" s="55"/>
      <c r="Z18" s="56"/>
      <c r="AA18" s="57">
        <v>0.24623803009575923</v>
      </c>
      <c r="AB18" s="56"/>
      <c r="AC18" s="56">
        <v>37000</v>
      </c>
      <c r="AD18" s="58">
        <v>0</v>
      </c>
      <c r="AE18" s="14">
        <f t="shared" si="1"/>
        <v>37000</v>
      </c>
      <c r="AF18" s="59">
        <v>2500</v>
      </c>
      <c r="AG18" s="56">
        <v>2500</v>
      </c>
      <c r="AH18" s="56"/>
      <c r="AI18" s="56"/>
      <c r="AJ18" s="56"/>
      <c r="AK18" s="56"/>
      <c r="AL18" s="56"/>
      <c r="AM18" s="56"/>
      <c r="AN18" s="56"/>
      <c r="AO18" s="58"/>
      <c r="AP18" s="59">
        <f t="shared" si="2"/>
        <v>5000</v>
      </c>
      <c r="AQ18" s="56">
        <f t="shared" si="3"/>
        <v>42000</v>
      </c>
      <c r="AR18" s="58"/>
      <c r="AS18" s="60"/>
      <c r="AT18" s="61"/>
      <c r="AU18" s="61"/>
      <c r="AV18" s="56"/>
      <c r="AW18" s="56"/>
      <c r="AX18" s="56">
        <f t="shared" si="4"/>
        <v>140.6</v>
      </c>
      <c r="AY18" s="56">
        <f t="shared" si="5"/>
        <v>370</v>
      </c>
      <c r="AZ18" s="56">
        <f t="shared" si="6"/>
        <v>0</v>
      </c>
      <c r="BA18" s="56">
        <f t="shared" si="7"/>
        <v>510.6</v>
      </c>
      <c r="BB18" s="56">
        <f t="shared" si="8"/>
        <v>1554</v>
      </c>
      <c r="BC18" s="56">
        <f t="shared" si="9"/>
        <v>0</v>
      </c>
      <c r="BD18" s="56">
        <f t="shared" si="10"/>
        <v>0</v>
      </c>
      <c r="BE18" s="56">
        <f t="shared" si="11"/>
        <v>1554</v>
      </c>
      <c r="BF18" s="56">
        <f t="shared" si="12"/>
        <v>0</v>
      </c>
      <c r="BG18" s="56">
        <f t="shared" si="13"/>
        <v>0</v>
      </c>
      <c r="BH18" s="56">
        <f t="shared" si="14"/>
        <v>555</v>
      </c>
      <c r="BI18" s="56">
        <f t="shared" si="15"/>
        <v>370</v>
      </c>
      <c r="BJ18" s="56">
        <f t="shared" si="16"/>
        <v>925</v>
      </c>
      <c r="BK18" s="56">
        <f t="shared" si="17"/>
        <v>1554</v>
      </c>
      <c r="BL18" s="56">
        <f t="shared" si="18"/>
        <v>2590.0000000000005</v>
      </c>
      <c r="BM18" s="56">
        <f t="shared" si="19"/>
        <v>647.50000000000011</v>
      </c>
      <c r="BN18" s="56">
        <f t="shared" si="20"/>
        <v>4791.5</v>
      </c>
      <c r="BO18" s="56">
        <f t="shared" si="21"/>
        <v>1435.6</v>
      </c>
      <c r="BP18" s="56">
        <f t="shared" si="22"/>
        <v>6345.5</v>
      </c>
      <c r="BQ18" s="56">
        <f t="shared" si="23"/>
        <v>7781.1</v>
      </c>
      <c r="BR18" s="56"/>
      <c r="BS18" s="56"/>
      <c r="BT18" s="62"/>
      <c r="BU18" s="63">
        <f t="shared" si="24"/>
        <v>24</v>
      </c>
      <c r="BV18" s="64" t="str">
        <f t="shared" si="24"/>
        <v>Mlle</v>
      </c>
      <c r="BW18" s="64" t="str">
        <f t="shared" si="24"/>
        <v>AGOIUD NANGA LETICIA</v>
      </c>
      <c r="BX18" s="65" t="str">
        <f t="shared" si="25"/>
        <v>SIL-B</v>
      </c>
      <c r="BY18" s="66">
        <f t="shared" si="26"/>
        <v>45383</v>
      </c>
      <c r="BZ18" s="66" t="str">
        <f t="shared" si="26"/>
        <v>31/04/2024</v>
      </c>
      <c r="CA18" s="67" t="str">
        <f t="shared" si="26"/>
        <v>#####</v>
      </c>
      <c r="CB18" s="68" t="str">
        <f t="shared" si="26"/>
        <v>#####</v>
      </c>
      <c r="CC18" s="69">
        <f t="shared" si="27"/>
        <v>37000</v>
      </c>
      <c r="CD18" s="70">
        <f t="shared" si="28"/>
        <v>5000</v>
      </c>
      <c r="CE18" s="71">
        <f t="shared" si="29"/>
        <v>1435.6</v>
      </c>
      <c r="CF18" s="67">
        <f t="shared" si="29"/>
        <v>6345.5</v>
      </c>
      <c r="CG18" s="67">
        <f t="shared" si="29"/>
        <v>7781.1</v>
      </c>
      <c r="CH18" s="67">
        <f t="shared" si="30"/>
        <v>42000</v>
      </c>
      <c r="CI18" s="72"/>
      <c r="CJ18" s="73"/>
      <c r="CK18" s="63">
        <f t="shared" si="31"/>
        <v>24</v>
      </c>
      <c r="CL18" s="64" t="str">
        <f t="shared" si="31"/>
        <v>Mlle</v>
      </c>
      <c r="CM18" s="64" t="str">
        <f t="shared" si="31"/>
        <v>AGOIUD NANGA LETICIA</v>
      </c>
      <c r="CN18" s="74" t="str">
        <f t="shared" si="31"/>
        <v>SIL-B</v>
      </c>
      <c r="CO18" s="69">
        <f t="shared" si="32"/>
        <v>0</v>
      </c>
      <c r="CP18" s="67">
        <f t="shared" si="32"/>
        <v>140.6</v>
      </c>
      <c r="CQ18" s="67">
        <f t="shared" si="32"/>
        <v>370</v>
      </c>
      <c r="CR18" s="67">
        <f t="shared" si="32"/>
        <v>0</v>
      </c>
      <c r="CS18" s="70">
        <f t="shared" si="32"/>
        <v>510.6</v>
      </c>
      <c r="CT18" s="71">
        <f t="shared" si="33"/>
        <v>0</v>
      </c>
      <c r="CU18" s="67">
        <f t="shared" si="33"/>
        <v>0</v>
      </c>
      <c r="CV18" s="67">
        <f t="shared" si="33"/>
        <v>555</v>
      </c>
      <c r="CW18" s="67">
        <f t="shared" si="33"/>
        <v>370</v>
      </c>
      <c r="CX18" s="68">
        <f t="shared" si="33"/>
        <v>925</v>
      </c>
      <c r="CY18" s="75">
        <f t="shared" si="34"/>
        <v>1435.6</v>
      </c>
      <c r="CZ18" s="72"/>
      <c r="DA18" s="76"/>
      <c r="DB18" s="63">
        <f t="shared" si="35"/>
        <v>24</v>
      </c>
      <c r="DC18" s="64" t="str">
        <f t="shared" si="35"/>
        <v>Mlle</v>
      </c>
      <c r="DD18" s="64" t="str">
        <f t="shared" si="35"/>
        <v>AGOIUD NANGA LETICIA</v>
      </c>
      <c r="DE18" s="74" t="str">
        <f t="shared" si="35"/>
        <v>SIL-B</v>
      </c>
      <c r="DF18" s="77">
        <f t="shared" si="36"/>
        <v>510.6</v>
      </c>
      <c r="DG18" s="64">
        <f t="shared" si="36"/>
        <v>1554</v>
      </c>
      <c r="DH18" s="64">
        <f t="shared" si="36"/>
        <v>0</v>
      </c>
      <c r="DI18" s="64">
        <f t="shared" si="36"/>
        <v>0</v>
      </c>
      <c r="DJ18" s="78">
        <f t="shared" si="36"/>
        <v>1554</v>
      </c>
      <c r="DK18" s="79">
        <f t="shared" si="37"/>
        <v>1554</v>
      </c>
      <c r="DL18" s="80">
        <f t="shared" si="37"/>
        <v>2590.0000000000005</v>
      </c>
      <c r="DM18" s="80">
        <f t="shared" si="37"/>
        <v>647.50000000000011</v>
      </c>
      <c r="DN18" s="80">
        <f t="shared" si="37"/>
        <v>4791.5</v>
      </c>
      <c r="DO18" s="81">
        <f t="shared" si="38"/>
        <v>6345.5</v>
      </c>
      <c r="DP18" s="82"/>
      <c r="DQ18" s="82"/>
      <c r="DR18" s="83">
        <f t="shared" si="39"/>
        <v>24</v>
      </c>
      <c r="DS18" s="64" t="str">
        <f t="shared" si="39"/>
        <v>Mlle</v>
      </c>
      <c r="DT18" s="64" t="str">
        <f t="shared" si="39"/>
        <v>AGOIUD NANGA LETICIA</v>
      </c>
      <c r="DU18" s="84" t="str">
        <f t="shared" si="39"/>
        <v>SIL-B</v>
      </c>
      <c r="DV18" s="85">
        <f t="shared" si="39"/>
        <v>45383</v>
      </c>
      <c r="DW18" s="86" t="str">
        <f t="shared" si="39"/>
        <v>31/04/2024</v>
      </c>
      <c r="DX18" s="87" t="str">
        <f t="shared" si="40"/>
        <v>#####</v>
      </c>
      <c r="DY18" s="47" t="str">
        <f t="shared" si="44"/>
        <v>#####</v>
      </c>
      <c r="DZ18" s="50">
        <f t="shared" si="41"/>
        <v>42000</v>
      </c>
      <c r="EA18" s="88"/>
      <c r="EB18" s="50"/>
      <c r="EC18" s="50">
        <v>15000</v>
      </c>
      <c r="ED18" s="50">
        <v>3000</v>
      </c>
      <c r="EE18" s="50"/>
      <c r="EF18" s="50"/>
      <c r="EG18" s="64">
        <f t="shared" si="42"/>
        <v>24000</v>
      </c>
      <c r="EH18" s="51" t="str">
        <f t="shared" si="43"/>
        <v>AGOIUD NANGA LETICIA</v>
      </c>
    </row>
    <row r="19" spans="1:138" ht="18.75" customHeight="1">
      <c r="A19" s="1">
        <v>25</v>
      </c>
      <c r="B19" s="2" t="s">
        <v>41</v>
      </c>
      <c r="C19" s="1" t="s">
        <v>97</v>
      </c>
      <c r="D19" s="1"/>
      <c r="E19" s="1" t="s">
        <v>98</v>
      </c>
      <c r="F19" s="1"/>
      <c r="G19" s="1" t="s">
        <v>99</v>
      </c>
      <c r="H19" s="1" t="s">
        <v>100</v>
      </c>
      <c r="I19" s="3">
        <v>35266</v>
      </c>
      <c r="J19" s="3">
        <v>44839</v>
      </c>
      <c r="K19" s="3"/>
      <c r="L19" s="3">
        <v>57181</v>
      </c>
      <c r="M19" s="3" t="s">
        <v>101</v>
      </c>
      <c r="N19" s="3" t="s">
        <v>102</v>
      </c>
      <c r="O19" s="4">
        <v>657847454</v>
      </c>
      <c r="P19" s="4">
        <v>651519705</v>
      </c>
      <c r="Q19" s="3" t="s">
        <v>17</v>
      </c>
      <c r="R19" s="5">
        <v>2</v>
      </c>
      <c r="S19" s="6" t="s">
        <v>8</v>
      </c>
      <c r="T19" s="7" t="s">
        <v>103</v>
      </c>
      <c r="U19" s="8">
        <f t="shared" si="0"/>
        <v>45383</v>
      </c>
      <c r="V19" s="8" t="str">
        <f t="shared" si="0"/>
        <v>31/04/2024</v>
      </c>
      <c r="W19" s="5" t="str">
        <f t="shared" si="0"/>
        <v>#####</v>
      </c>
      <c r="X19" s="5" t="str">
        <f t="shared" si="0"/>
        <v>#####</v>
      </c>
      <c r="Y19" s="9"/>
      <c r="Z19" s="10"/>
      <c r="AA19" s="11">
        <v>1.1518467852257182</v>
      </c>
      <c r="AB19" s="12"/>
      <c r="AC19" s="12">
        <v>43000</v>
      </c>
      <c r="AD19" s="13">
        <v>1000</v>
      </c>
      <c r="AE19" s="14">
        <f t="shared" si="1"/>
        <v>44000</v>
      </c>
      <c r="AF19" s="15">
        <v>2500</v>
      </c>
      <c r="AG19" s="10">
        <v>2500</v>
      </c>
      <c r="AH19" s="16"/>
      <c r="AI19" s="12"/>
      <c r="AJ19" s="12"/>
      <c r="AK19" s="12"/>
      <c r="AL19" s="12"/>
      <c r="AM19" s="12"/>
      <c r="AN19" s="12"/>
      <c r="AO19" s="13"/>
      <c r="AP19" s="15">
        <f t="shared" si="2"/>
        <v>5000</v>
      </c>
      <c r="AQ19" s="10">
        <f t="shared" si="3"/>
        <v>49000</v>
      </c>
      <c r="AR19" s="13"/>
      <c r="AS19" s="17"/>
      <c r="AT19" s="10"/>
      <c r="AU19" s="10"/>
      <c r="AV19" s="12"/>
      <c r="AW19" s="12"/>
      <c r="AX19" s="12">
        <f t="shared" si="4"/>
        <v>167.2</v>
      </c>
      <c r="AY19" s="12">
        <f t="shared" si="5"/>
        <v>440</v>
      </c>
      <c r="AZ19" s="12">
        <f t="shared" si="6"/>
        <v>0</v>
      </c>
      <c r="BA19" s="12">
        <f t="shared" si="7"/>
        <v>607.20000000000005</v>
      </c>
      <c r="BB19" s="12">
        <f t="shared" si="8"/>
        <v>1848.0000000000002</v>
      </c>
      <c r="BC19" s="12">
        <f t="shared" si="9"/>
        <v>0</v>
      </c>
      <c r="BD19" s="12">
        <f t="shared" si="10"/>
        <v>0</v>
      </c>
      <c r="BE19" s="12">
        <f t="shared" si="11"/>
        <v>1848.0000000000002</v>
      </c>
      <c r="BF19" s="12">
        <f t="shared" si="12"/>
        <v>0</v>
      </c>
      <c r="BG19" s="12">
        <f t="shared" si="13"/>
        <v>0</v>
      </c>
      <c r="BH19" s="12">
        <f t="shared" si="14"/>
        <v>660</v>
      </c>
      <c r="BI19" s="12">
        <f t="shared" si="15"/>
        <v>440</v>
      </c>
      <c r="BJ19" s="12">
        <f t="shared" si="16"/>
        <v>1100</v>
      </c>
      <c r="BK19" s="12">
        <f t="shared" si="17"/>
        <v>1848.0000000000002</v>
      </c>
      <c r="BL19" s="12">
        <f t="shared" si="18"/>
        <v>3080.0000000000005</v>
      </c>
      <c r="BM19" s="12">
        <f t="shared" si="19"/>
        <v>770.00000000000011</v>
      </c>
      <c r="BN19" s="12">
        <f t="shared" si="20"/>
        <v>5698.0000000000009</v>
      </c>
      <c r="BO19" s="12">
        <f t="shared" si="21"/>
        <v>1707.2</v>
      </c>
      <c r="BP19" s="10">
        <f t="shared" si="22"/>
        <v>7546.0000000000009</v>
      </c>
      <c r="BQ19" s="10">
        <f t="shared" si="23"/>
        <v>9253.2000000000007</v>
      </c>
      <c r="BR19" s="12"/>
      <c r="BS19" s="12"/>
      <c r="BT19" s="18"/>
      <c r="BU19" s="19">
        <f t="shared" si="24"/>
        <v>25</v>
      </c>
      <c r="BV19" s="20" t="str">
        <f t="shared" si="24"/>
        <v>Mr</v>
      </c>
      <c r="BW19" s="20" t="str">
        <f t="shared" si="24"/>
        <v>MELIGUI ORAL ROBERT</v>
      </c>
      <c r="BX19" s="21" t="str">
        <f t="shared" si="25"/>
        <v>CP-A</v>
      </c>
      <c r="BY19" s="22">
        <f t="shared" si="26"/>
        <v>45383</v>
      </c>
      <c r="BZ19" s="22" t="str">
        <f t="shared" si="26"/>
        <v>31/04/2024</v>
      </c>
      <c r="CA19" s="23" t="str">
        <f t="shared" si="26"/>
        <v>#####</v>
      </c>
      <c r="CB19" s="24" t="str">
        <f t="shared" si="26"/>
        <v>#####</v>
      </c>
      <c r="CC19" s="25">
        <f t="shared" si="27"/>
        <v>44000</v>
      </c>
      <c r="CD19" s="26">
        <f t="shared" si="28"/>
        <v>5000</v>
      </c>
      <c r="CE19" s="27">
        <f t="shared" si="29"/>
        <v>1707.2</v>
      </c>
      <c r="CF19" s="28">
        <f t="shared" si="29"/>
        <v>7546.0000000000009</v>
      </c>
      <c r="CG19" s="28">
        <f t="shared" si="29"/>
        <v>9253.2000000000007</v>
      </c>
      <c r="CH19" s="23">
        <f t="shared" si="30"/>
        <v>49000</v>
      </c>
      <c r="CI19" s="29"/>
      <c r="CJ19" s="30"/>
      <c r="CK19" s="19">
        <f t="shared" si="31"/>
        <v>25</v>
      </c>
      <c r="CL19" s="20" t="str">
        <f t="shared" si="31"/>
        <v>Mr</v>
      </c>
      <c r="CM19" s="20" t="str">
        <f t="shared" si="31"/>
        <v>MELIGUI ORAL ROBERT</v>
      </c>
      <c r="CN19" s="31" t="str">
        <f t="shared" si="31"/>
        <v>CP-A</v>
      </c>
      <c r="CO19" s="25">
        <f t="shared" si="32"/>
        <v>0</v>
      </c>
      <c r="CP19" s="23">
        <f t="shared" si="32"/>
        <v>167.2</v>
      </c>
      <c r="CQ19" s="23">
        <f t="shared" si="32"/>
        <v>440</v>
      </c>
      <c r="CR19" s="23">
        <f t="shared" si="32"/>
        <v>0</v>
      </c>
      <c r="CS19" s="32">
        <f t="shared" si="32"/>
        <v>607.20000000000005</v>
      </c>
      <c r="CT19" s="33">
        <f t="shared" si="33"/>
        <v>0</v>
      </c>
      <c r="CU19" s="23">
        <f t="shared" si="33"/>
        <v>0</v>
      </c>
      <c r="CV19" s="23">
        <f t="shared" si="33"/>
        <v>660</v>
      </c>
      <c r="CW19" s="23">
        <f t="shared" si="33"/>
        <v>440</v>
      </c>
      <c r="CX19" s="24">
        <f t="shared" si="33"/>
        <v>1100</v>
      </c>
      <c r="CY19" s="34">
        <f t="shared" si="34"/>
        <v>1707.2</v>
      </c>
      <c r="CZ19" s="29"/>
      <c r="DA19" s="35"/>
      <c r="DB19" s="19">
        <f t="shared" si="35"/>
        <v>25</v>
      </c>
      <c r="DC19" s="20" t="str">
        <f t="shared" si="35"/>
        <v>Mr</v>
      </c>
      <c r="DD19" s="20" t="str">
        <f t="shared" si="35"/>
        <v>MELIGUI ORAL ROBERT</v>
      </c>
      <c r="DE19" s="31" t="str">
        <f t="shared" si="35"/>
        <v>CP-A</v>
      </c>
      <c r="DF19" s="36">
        <f t="shared" si="36"/>
        <v>607.20000000000005</v>
      </c>
      <c r="DG19" s="20">
        <f t="shared" si="36"/>
        <v>1848.0000000000002</v>
      </c>
      <c r="DH19" s="20">
        <f t="shared" si="36"/>
        <v>0</v>
      </c>
      <c r="DI19" s="20">
        <f t="shared" si="36"/>
        <v>0</v>
      </c>
      <c r="DJ19" s="37">
        <f t="shared" si="36"/>
        <v>1848.0000000000002</v>
      </c>
      <c r="DK19" s="38">
        <f t="shared" si="37"/>
        <v>1848.0000000000002</v>
      </c>
      <c r="DL19" s="39">
        <f t="shared" si="37"/>
        <v>3080.0000000000005</v>
      </c>
      <c r="DM19" s="40">
        <f t="shared" si="37"/>
        <v>770.00000000000011</v>
      </c>
      <c r="DN19" s="39">
        <f t="shared" si="37"/>
        <v>5698.0000000000009</v>
      </c>
      <c r="DO19" s="41">
        <f t="shared" si="38"/>
        <v>7546.0000000000009</v>
      </c>
      <c r="DP19" s="42"/>
      <c r="DQ19" s="42"/>
      <c r="DR19" s="43">
        <f t="shared" si="39"/>
        <v>25</v>
      </c>
      <c r="DS19" s="20" t="str">
        <f t="shared" si="39"/>
        <v>Mr</v>
      </c>
      <c r="DT19" s="20" t="str">
        <f t="shared" si="39"/>
        <v>MELIGUI ORAL ROBERT</v>
      </c>
      <c r="DU19" s="44" t="str">
        <f t="shared" si="39"/>
        <v>CP-A</v>
      </c>
      <c r="DV19" s="45">
        <f t="shared" si="39"/>
        <v>45383</v>
      </c>
      <c r="DW19" s="46" t="str">
        <f t="shared" si="39"/>
        <v>31/04/2024</v>
      </c>
      <c r="DX19" s="87" t="str">
        <f t="shared" si="40"/>
        <v>#####</v>
      </c>
      <c r="DY19" s="47" t="str">
        <f t="shared" si="44"/>
        <v>#####</v>
      </c>
      <c r="DZ19" s="48">
        <f t="shared" si="41"/>
        <v>49000</v>
      </c>
      <c r="EA19" s="49"/>
      <c r="EB19" s="48"/>
      <c r="EC19" s="48">
        <v>15000</v>
      </c>
      <c r="ED19" s="48">
        <v>3000</v>
      </c>
      <c r="EE19" s="50"/>
      <c r="EF19" s="48"/>
      <c r="EG19" s="20">
        <f t="shared" si="42"/>
        <v>31000</v>
      </c>
      <c r="EH19" s="51" t="str">
        <f t="shared" si="43"/>
        <v>MELIGUI ORAL ROBERT</v>
      </c>
    </row>
    <row r="20" spans="1:138" ht="11.25" customHeight="1">
      <c r="A20" s="1">
        <v>26</v>
      </c>
      <c r="B20" s="2" t="s">
        <v>85</v>
      </c>
      <c r="C20" s="1" t="s">
        <v>104</v>
      </c>
      <c r="D20" s="1"/>
      <c r="E20" s="1" t="s">
        <v>105</v>
      </c>
      <c r="F20" s="1"/>
      <c r="G20" s="1" t="s">
        <v>106</v>
      </c>
      <c r="H20" s="1" t="s">
        <v>107</v>
      </c>
      <c r="I20" s="3">
        <v>37383</v>
      </c>
      <c r="J20" s="3">
        <v>45170</v>
      </c>
      <c r="K20" s="3"/>
      <c r="L20" s="3"/>
      <c r="M20" s="3" t="s">
        <v>96</v>
      </c>
      <c r="N20" s="3" t="s">
        <v>108</v>
      </c>
      <c r="O20" s="4">
        <v>696879313</v>
      </c>
      <c r="P20" s="4">
        <v>674071050</v>
      </c>
      <c r="Q20" s="3" t="s">
        <v>17</v>
      </c>
      <c r="R20" s="52">
        <v>0</v>
      </c>
      <c r="S20" s="3" t="s">
        <v>8</v>
      </c>
      <c r="T20" s="53" t="s">
        <v>109</v>
      </c>
      <c r="U20" s="54">
        <f t="shared" si="0"/>
        <v>45383</v>
      </c>
      <c r="V20" s="54" t="str">
        <f t="shared" si="0"/>
        <v>31/04/2024</v>
      </c>
      <c r="W20" s="5" t="str">
        <f t="shared" si="0"/>
        <v>#####</v>
      </c>
      <c r="X20" s="5" t="str">
        <f t="shared" si="0"/>
        <v>#####</v>
      </c>
      <c r="Y20" s="55"/>
      <c r="Z20" s="56"/>
      <c r="AA20" s="57">
        <v>0.24623803009575923</v>
      </c>
      <c r="AB20" s="56"/>
      <c r="AC20" s="56">
        <v>37000</v>
      </c>
      <c r="AD20" s="58">
        <v>0</v>
      </c>
      <c r="AE20" s="14">
        <f t="shared" si="1"/>
        <v>37000</v>
      </c>
      <c r="AF20" s="59">
        <v>2500</v>
      </c>
      <c r="AG20" s="56">
        <v>2500</v>
      </c>
      <c r="AH20" s="56"/>
      <c r="AI20" s="56"/>
      <c r="AJ20" s="56"/>
      <c r="AK20" s="56"/>
      <c r="AL20" s="56"/>
      <c r="AM20" s="56"/>
      <c r="AN20" s="56"/>
      <c r="AO20" s="58"/>
      <c r="AP20" s="59">
        <f t="shared" si="2"/>
        <v>5000</v>
      </c>
      <c r="AQ20" s="56">
        <f t="shared" si="3"/>
        <v>42000</v>
      </c>
      <c r="AR20" s="58"/>
      <c r="AS20" s="60"/>
      <c r="AT20" s="61"/>
      <c r="AU20" s="61"/>
      <c r="AV20" s="56"/>
      <c r="AW20" s="56"/>
      <c r="AX20" s="56">
        <f t="shared" si="4"/>
        <v>140.6</v>
      </c>
      <c r="AY20" s="56">
        <f t="shared" si="5"/>
        <v>370</v>
      </c>
      <c r="AZ20" s="56">
        <f t="shared" si="6"/>
        <v>0</v>
      </c>
      <c r="BA20" s="56">
        <f t="shared" si="7"/>
        <v>510.6</v>
      </c>
      <c r="BB20" s="56">
        <f t="shared" si="8"/>
        <v>1554</v>
      </c>
      <c r="BC20" s="56">
        <f t="shared" si="9"/>
        <v>0</v>
      </c>
      <c r="BD20" s="56">
        <f t="shared" si="10"/>
        <v>0</v>
      </c>
      <c r="BE20" s="56">
        <f t="shared" si="11"/>
        <v>1554</v>
      </c>
      <c r="BF20" s="56">
        <f t="shared" si="12"/>
        <v>0</v>
      </c>
      <c r="BG20" s="56">
        <f t="shared" si="13"/>
        <v>0</v>
      </c>
      <c r="BH20" s="56">
        <f t="shared" si="14"/>
        <v>555</v>
      </c>
      <c r="BI20" s="56">
        <f t="shared" si="15"/>
        <v>370</v>
      </c>
      <c r="BJ20" s="56">
        <f t="shared" si="16"/>
        <v>925</v>
      </c>
      <c r="BK20" s="56">
        <f t="shared" si="17"/>
        <v>1554</v>
      </c>
      <c r="BL20" s="56">
        <f t="shared" si="18"/>
        <v>2590.0000000000005</v>
      </c>
      <c r="BM20" s="56">
        <f t="shared" si="19"/>
        <v>647.50000000000011</v>
      </c>
      <c r="BN20" s="56">
        <f t="shared" si="20"/>
        <v>4791.5</v>
      </c>
      <c r="BO20" s="56">
        <f t="shared" si="21"/>
        <v>1435.6</v>
      </c>
      <c r="BP20" s="56">
        <f t="shared" si="22"/>
        <v>6345.5</v>
      </c>
      <c r="BQ20" s="56">
        <f t="shared" si="23"/>
        <v>7781.1</v>
      </c>
      <c r="BR20" s="56"/>
      <c r="BS20" s="56"/>
      <c r="BT20" s="62"/>
      <c r="BU20" s="63">
        <f t="shared" si="24"/>
        <v>26</v>
      </c>
      <c r="BV20" s="64" t="str">
        <f t="shared" si="24"/>
        <v>Mlle</v>
      </c>
      <c r="BW20" s="64" t="str">
        <f t="shared" si="24"/>
        <v>KESSE DORIS</v>
      </c>
      <c r="BX20" s="65" t="str">
        <f t="shared" si="25"/>
        <v>CP-B</v>
      </c>
      <c r="BY20" s="66">
        <f t="shared" si="26"/>
        <v>45383</v>
      </c>
      <c r="BZ20" s="66" t="str">
        <f t="shared" si="26"/>
        <v>31/04/2024</v>
      </c>
      <c r="CA20" s="67" t="str">
        <f t="shared" si="26"/>
        <v>#####</v>
      </c>
      <c r="CB20" s="68" t="str">
        <f t="shared" si="26"/>
        <v>#####</v>
      </c>
      <c r="CC20" s="69">
        <f t="shared" si="27"/>
        <v>37000</v>
      </c>
      <c r="CD20" s="70">
        <f t="shared" si="28"/>
        <v>5000</v>
      </c>
      <c r="CE20" s="71">
        <f t="shared" si="29"/>
        <v>1435.6</v>
      </c>
      <c r="CF20" s="67">
        <f t="shared" si="29"/>
        <v>6345.5</v>
      </c>
      <c r="CG20" s="67">
        <f t="shared" si="29"/>
        <v>7781.1</v>
      </c>
      <c r="CH20" s="67">
        <f t="shared" si="30"/>
        <v>42000</v>
      </c>
      <c r="CI20" s="72"/>
      <c r="CJ20" s="73"/>
      <c r="CK20" s="63">
        <f t="shared" si="31"/>
        <v>26</v>
      </c>
      <c r="CL20" s="64" t="str">
        <f t="shared" si="31"/>
        <v>Mlle</v>
      </c>
      <c r="CM20" s="64" t="str">
        <f t="shared" si="31"/>
        <v>KESSE DORIS</v>
      </c>
      <c r="CN20" s="74" t="str">
        <f t="shared" si="31"/>
        <v>CP-B</v>
      </c>
      <c r="CO20" s="69">
        <f t="shared" si="32"/>
        <v>0</v>
      </c>
      <c r="CP20" s="67">
        <f t="shared" si="32"/>
        <v>140.6</v>
      </c>
      <c r="CQ20" s="67">
        <f t="shared" si="32"/>
        <v>370</v>
      </c>
      <c r="CR20" s="67">
        <f t="shared" si="32"/>
        <v>0</v>
      </c>
      <c r="CS20" s="70">
        <f t="shared" si="32"/>
        <v>510.6</v>
      </c>
      <c r="CT20" s="71">
        <f t="shared" si="33"/>
        <v>0</v>
      </c>
      <c r="CU20" s="67">
        <f t="shared" si="33"/>
        <v>0</v>
      </c>
      <c r="CV20" s="67">
        <f t="shared" si="33"/>
        <v>555</v>
      </c>
      <c r="CW20" s="67">
        <f t="shared" si="33"/>
        <v>370</v>
      </c>
      <c r="CX20" s="68">
        <f t="shared" si="33"/>
        <v>925</v>
      </c>
      <c r="CY20" s="75">
        <f t="shared" si="34"/>
        <v>1435.6</v>
      </c>
      <c r="CZ20" s="72"/>
      <c r="DA20" s="76"/>
      <c r="DB20" s="63">
        <f t="shared" si="35"/>
        <v>26</v>
      </c>
      <c r="DC20" s="64" t="str">
        <f t="shared" si="35"/>
        <v>Mlle</v>
      </c>
      <c r="DD20" s="64" t="str">
        <f t="shared" si="35"/>
        <v>KESSE DORIS</v>
      </c>
      <c r="DE20" s="74" t="str">
        <f t="shared" si="35"/>
        <v>CP-B</v>
      </c>
      <c r="DF20" s="77">
        <f t="shared" si="36"/>
        <v>510.6</v>
      </c>
      <c r="DG20" s="64">
        <f t="shared" si="36"/>
        <v>1554</v>
      </c>
      <c r="DH20" s="64">
        <f t="shared" si="36"/>
        <v>0</v>
      </c>
      <c r="DI20" s="64">
        <f t="shared" si="36"/>
        <v>0</v>
      </c>
      <c r="DJ20" s="78">
        <f t="shared" si="36"/>
        <v>1554</v>
      </c>
      <c r="DK20" s="79">
        <f t="shared" si="37"/>
        <v>1554</v>
      </c>
      <c r="DL20" s="80">
        <f t="shared" si="37"/>
        <v>2590.0000000000005</v>
      </c>
      <c r="DM20" s="80">
        <f t="shared" si="37"/>
        <v>647.50000000000011</v>
      </c>
      <c r="DN20" s="80">
        <f t="shared" si="37"/>
        <v>4791.5</v>
      </c>
      <c r="DO20" s="81">
        <f t="shared" si="38"/>
        <v>6345.5</v>
      </c>
      <c r="DP20" s="82"/>
      <c r="DQ20" s="82"/>
      <c r="DR20" s="83">
        <f t="shared" si="39"/>
        <v>26</v>
      </c>
      <c r="DS20" s="64" t="str">
        <f t="shared" si="39"/>
        <v>Mlle</v>
      </c>
      <c r="DT20" s="64" t="str">
        <f t="shared" si="39"/>
        <v>KESSE DORIS</v>
      </c>
      <c r="DU20" s="84" t="str">
        <f t="shared" si="39"/>
        <v>CP-B</v>
      </c>
      <c r="DV20" s="85">
        <f t="shared" si="39"/>
        <v>45383</v>
      </c>
      <c r="DW20" s="86" t="str">
        <f t="shared" si="39"/>
        <v>31/04/2024</v>
      </c>
      <c r="DX20" s="87" t="str">
        <f t="shared" si="40"/>
        <v>#####</v>
      </c>
      <c r="DY20" s="47" t="str">
        <f t="shared" si="44"/>
        <v>#####</v>
      </c>
      <c r="DZ20" s="50">
        <f t="shared" si="41"/>
        <v>42000</v>
      </c>
      <c r="EA20" s="88"/>
      <c r="EB20" s="50">
        <v>15000</v>
      </c>
      <c r="EC20" s="50">
        <v>15000</v>
      </c>
      <c r="ED20" s="50">
        <v>3000</v>
      </c>
      <c r="EE20" s="50"/>
      <c r="EF20" s="50"/>
      <c r="EG20" s="64">
        <f t="shared" si="42"/>
        <v>9000</v>
      </c>
      <c r="EH20" s="51" t="str">
        <f t="shared" si="43"/>
        <v>KESSE DORIS</v>
      </c>
    </row>
    <row r="21" spans="1:138" ht="39.75" customHeight="1">
      <c r="A21" s="1">
        <v>27</v>
      </c>
      <c r="B21" s="2" t="s">
        <v>26</v>
      </c>
      <c r="C21" s="1" t="s">
        <v>110</v>
      </c>
      <c r="D21" s="1" t="s">
        <v>111</v>
      </c>
      <c r="E21" s="1" t="s">
        <v>111</v>
      </c>
      <c r="F21" s="1" t="s">
        <v>30</v>
      </c>
      <c r="G21" s="1" t="s">
        <v>112</v>
      </c>
      <c r="H21" s="1" t="s">
        <v>113</v>
      </c>
      <c r="I21" s="3">
        <v>33008</v>
      </c>
      <c r="J21" s="3">
        <v>43040</v>
      </c>
      <c r="K21" s="3"/>
      <c r="L21" s="3">
        <v>54923</v>
      </c>
      <c r="M21" s="3" t="s">
        <v>96</v>
      </c>
      <c r="N21" s="3" t="s">
        <v>114</v>
      </c>
      <c r="O21" s="4">
        <v>690639059</v>
      </c>
      <c r="P21" s="4"/>
      <c r="Q21" s="3" t="s">
        <v>17</v>
      </c>
      <c r="R21" s="5">
        <v>0</v>
      </c>
      <c r="S21" s="6" t="s">
        <v>115</v>
      </c>
      <c r="T21" s="7" t="s">
        <v>103</v>
      </c>
      <c r="U21" s="8">
        <f t="shared" ref="U21:X28" si="45">U20</f>
        <v>45383</v>
      </c>
      <c r="V21" s="8" t="str">
        <f t="shared" si="45"/>
        <v>31/04/2024</v>
      </c>
      <c r="W21" s="5" t="str">
        <f t="shared" si="45"/>
        <v>#####</v>
      </c>
      <c r="X21" s="5" t="str">
        <f t="shared" si="45"/>
        <v>#####</v>
      </c>
      <c r="Y21" s="9"/>
      <c r="Z21" s="10"/>
      <c r="AA21" s="11">
        <v>6.0738714090287278</v>
      </c>
      <c r="AB21" s="12"/>
      <c r="AC21" s="12">
        <v>48000</v>
      </c>
      <c r="AD21" s="13">
        <v>6000</v>
      </c>
      <c r="AE21" s="14">
        <f t="shared" si="1"/>
        <v>54000</v>
      </c>
      <c r="AF21" s="15">
        <v>2500</v>
      </c>
      <c r="AG21" s="10">
        <v>2500</v>
      </c>
      <c r="AH21" s="16"/>
      <c r="AI21" s="12"/>
      <c r="AJ21" s="12"/>
      <c r="AK21" s="12"/>
      <c r="AL21" s="12"/>
      <c r="AM21" s="12"/>
      <c r="AN21" s="12"/>
      <c r="AO21" s="13"/>
      <c r="AP21" s="15">
        <f t="shared" si="2"/>
        <v>5000</v>
      </c>
      <c r="AQ21" s="10">
        <f t="shared" si="3"/>
        <v>59000</v>
      </c>
      <c r="AR21" s="13"/>
      <c r="AS21" s="17"/>
      <c r="AT21" s="10"/>
      <c r="AU21" s="10"/>
      <c r="AV21" s="12"/>
      <c r="AW21" s="12"/>
      <c r="AX21" s="12">
        <f t="shared" si="4"/>
        <v>205.2</v>
      </c>
      <c r="AY21" s="12">
        <f t="shared" si="5"/>
        <v>540</v>
      </c>
      <c r="AZ21" s="12">
        <f t="shared" si="6"/>
        <v>0</v>
      </c>
      <c r="BA21" s="12">
        <f t="shared" si="7"/>
        <v>745.2</v>
      </c>
      <c r="BB21" s="12">
        <f t="shared" si="8"/>
        <v>2268</v>
      </c>
      <c r="BC21" s="12">
        <f t="shared" si="9"/>
        <v>0</v>
      </c>
      <c r="BD21" s="12">
        <f t="shared" si="10"/>
        <v>0</v>
      </c>
      <c r="BE21" s="12">
        <f t="shared" si="11"/>
        <v>2268</v>
      </c>
      <c r="BF21" s="12">
        <f t="shared" si="12"/>
        <v>0</v>
      </c>
      <c r="BG21" s="12">
        <f t="shared" si="13"/>
        <v>0</v>
      </c>
      <c r="BH21" s="12">
        <f t="shared" si="14"/>
        <v>810</v>
      </c>
      <c r="BI21" s="12">
        <f t="shared" si="15"/>
        <v>540</v>
      </c>
      <c r="BJ21" s="12">
        <f t="shared" si="16"/>
        <v>1350</v>
      </c>
      <c r="BK21" s="12">
        <f t="shared" si="17"/>
        <v>2268</v>
      </c>
      <c r="BL21" s="12">
        <f t="shared" si="18"/>
        <v>3780.0000000000005</v>
      </c>
      <c r="BM21" s="12">
        <f t="shared" si="19"/>
        <v>945.00000000000011</v>
      </c>
      <c r="BN21" s="12">
        <f t="shared" si="20"/>
        <v>6993</v>
      </c>
      <c r="BO21" s="12">
        <f t="shared" si="21"/>
        <v>2095.1999999999998</v>
      </c>
      <c r="BP21" s="10">
        <f t="shared" si="22"/>
        <v>9261</v>
      </c>
      <c r="BQ21" s="10">
        <f t="shared" si="23"/>
        <v>11356.2</v>
      </c>
      <c r="BR21" s="12"/>
      <c r="BS21" s="12"/>
      <c r="BT21" s="18"/>
      <c r="BU21" s="19">
        <f t="shared" si="24"/>
        <v>27</v>
      </c>
      <c r="BV21" s="20" t="str">
        <f t="shared" si="24"/>
        <v xml:space="preserve">Mr </v>
      </c>
      <c r="BW21" s="20" t="str">
        <f t="shared" si="24"/>
        <v>LOAKE LOAKE SYLVERE DARIOT</v>
      </c>
      <c r="BX21" s="21" t="str">
        <f t="shared" si="25"/>
        <v>CE1-A</v>
      </c>
      <c r="BY21" s="22">
        <f t="shared" si="26"/>
        <v>45383</v>
      </c>
      <c r="BZ21" s="22" t="str">
        <f t="shared" si="26"/>
        <v>31/04/2024</v>
      </c>
      <c r="CA21" s="23" t="str">
        <f t="shared" si="26"/>
        <v>#####</v>
      </c>
      <c r="CB21" s="24" t="str">
        <f t="shared" si="26"/>
        <v>#####</v>
      </c>
      <c r="CC21" s="25">
        <f t="shared" si="27"/>
        <v>54000</v>
      </c>
      <c r="CD21" s="26">
        <f t="shared" si="28"/>
        <v>5000</v>
      </c>
      <c r="CE21" s="27">
        <f t="shared" si="29"/>
        <v>2095.1999999999998</v>
      </c>
      <c r="CF21" s="28">
        <f t="shared" si="29"/>
        <v>9261</v>
      </c>
      <c r="CG21" s="28">
        <f t="shared" si="29"/>
        <v>11356.2</v>
      </c>
      <c r="CH21" s="23">
        <f t="shared" si="30"/>
        <v>59000</v>
      </c>
      <c r="CI21" s="29"/>
      <c r="CJ21" s="30"/>
      <c r="CK21" s="19">
        <f t="shared" si="31"/>
        <v>27</v>
      </c>
      <c r="CL21" s="20" t="str">
        <f t="shared" si="31"/>
        <v xml:space="preserve">Mr </v>
      </c>
      <c r="CM21" s="20" t="str">
        <f t="shared" si="31"/>
        <v>LOAKE LOAKE SYLVERE DARIOT</v>
      </c>
      <c r="CN21" s="31" t="str">
        <f t="shared" si="31"/>
        <v>CE1-A</v>
      </c>
      <c r="CO21" s="25">
        <f t="shared" si="32"/>
        <v>0</v>
      </c>
      <c r="CP21" s="23">
        <f t="shared" si="32"/>
        <v>205.2</v>
      </c>
      <c r="CQ21" s="23">
        <f t="shared" si="32"/>
        <v>540</v>
      </c>
      <c r="CR21" s="23">
        <f t="shared" si="32"/>
        <v>0</v>
      </c>
      <c r="CS21" s="32">
        <f t="shared" si="32"/>
        <v>745.2</v>
      </c>
      <c r="CT21" s="33">
        <f t="shared" si="33"/>
        <v>0</v>
      </c>
      <c r="CU21" s="23">
        <f t="shared" si="33"/>
        <v>0</v>
      </c>
      <c r="CV21" s="23">
        <f t="shared" si="33"/>
        <v>810</v>
      </c>
      <c r="CW21" s="23">
        <f t="shared" si="33"/>
        <v>540</v>
      </c>
      <c r="CX21" s="24">
        <f t="shared" si="33"/>
        <v>1350</v>
      </c>
      <c r="CY21" s="34">
        <f t="shared" si="34"/>
        <v>2095.1999999999998</v>
      </c>
      <c r="CZ21" s="29"/>
      <c r="DA21" s="35"/>
      <c r="DB21" s="19">
        <f t="shared" si="35"/>
        <v>27</v>
      </c>
      <c r="DC21" s="20" t="str">
        <f t="shared" si="35"/>
        <v xml:space="preserve">Mr </v>
      </c>
      <c r="DD21" s="20" t="str">
        <f t="shared" si="35"/>
        <v>LOAKE LOAKE SYLVERE DARIOT</v>
      </c>
      <c r="DE21" s="31" t="str">
        <f t="shared" si="35"/>
        <v>CE1-A</v>
      </c>
      <c r="DF21" s="36">
        <f t="shared" si="36"/>
        <v>745.2</v>
      </c>
      <c r="DG21" s="20">
        <f t="shared" si="36"/>
        <v>2268</v>
      </c>
      <c r="DH21" s="20">
        <f t="shared" si="36"/>
        <v>0</v>
      </c>
      <c r="DI21" s="20">
        <f t="shared" si="36"/>
        <v>0</v>
      </c>
      <c r="DJ21" s="37">
        <f t="shared" si="36"/>
        <v>2268</v>
      </c>
      <c r="DK21" s="38">
        <f t="shared" si="37"/>
        <v>2268</v>
      </c>
      <c r="DL21" s="39">
        <f t="shared" si="37"/>
        <v>3780.0000000000005</v>
      </c>
      <c r="DM21" s="40">
        <f t="shared" si="37"/>
        <v>945.00000000000011</v>
      </c>
      <c r="DN21" s="39">
        <f t="shared" si="37"/>
        <v>6993</v>
      </c>
      <c r="DO21" s="41">
        <f t="shared" si="38"/>
        <v>9261</v>
      </c>
      <c r="DP21" s="42"/>
      <c r="DQ21" s="42"/>
      <c r="DR21" s="43">
        <f t="shared" ref="DR21:DW28" si="46">BU21</f>
        <v>27</v>
      </c>
      <c r="DS21" s="20" t="str">
        <f t="shared" si="46"/>
        <v xml:space="preserve">Mr </v>
      </c>
      <c r="DT21" s="20" t="str">
        <f t="shared" si="46"/>
        <v>LOAKE LOAKE SYLVERE DARIOT</v>
      </c>
      <c r="DU21" s="44" t="str">
        <f t="shared" si="46"/>
        <v>CE1-A</v>
      </c>
      <c r="DV21" s="45">
        <f t="shared" si="46"/>
        <v>45383</v>
      </c>
      <c r="DW21" s="46" t="str">
        <f t="shared" si="46"/>
        <v>31/04/2024</v>
      </c>
      <c r="DX21" s="87" t="str">
        <f t="shared" si="40"/>
        <v>#####</v>
      </c>
      <c r="DY21" s="47" t="str">
        <f t="shared" si="44"/>
        <v>#####</v>
      </c>
      <c r="DZ21" s="48">
        <f t="shared" si="41"/>
        <v>59000</v>
      </c>
      <c r="EA21" s="49"/>
      <c r="EB21" s="48"/>
      <c r="EC21" s="48">
        <v>15000</v>
      </c>
      <c r="ED21" s="48">
        <v>3000</v>
      </c>
      <c r="EE21" s="50"/>
      <c r="EF21" s="48"/>
      <c r="EG21" s="20">
        <f t="shared" si="42"/>
        <v>41000</v>
      </c>
      <c r="EH21" s="51" t="str">
        <f t="shared" si="43"/>
        <v>LOAKE LOAKE SYLVERE DARIOT</v>
      </c>
    </row>
    <row r="22" spans="1:138" ht="15" customHeight="1">
      <c r="A22" s="1">
        <v>28</v>
      </c>
      <c r="B22" s="2" t="s">
        <v>0</v>
      </c>
      <c r="C22" s="1" t="s">
        <v>116</v>
      </c>
      <c r="D22" s="1" t="s">
        <v>117</v>
      </c>
      <c r="E22" s="1" t="s">
        <v>117</v>
      </c>
      <c r="F22" s="1" t="s">
        <v>30</v>
      </c>
      <c r="G22" s="1" t="s">
        <v>118</v>
      </c>
      <c r="H22" s="1" t="s">
        <v>119</v>
      </c>
      <c r="I22" s="3">
        <v>32699</v>
      </c>
      <c r="J22" s="3">
        <v>43344</v>
      </c>
      <c r="K22" s="3"/>
      <c r="L22" s="3">
        <v>54614</v>
      </c>
      <c r="M22" s="3" t="s">
        <v>120</v>
      </c>
      <c r="N22" s="3" t="s">
        <v>121</v>
      </c>
      <c r="O22" s="4">
        <v>690217117</v>
      </c>
      <c r="P22" s="4">
        <v>671922909</v>
      </c>
      <c r="Q22" s="3" t="s">
        <v>70</v>
      </c>
      <c r="R22" s="52">
        <v>0</v>
      </c>
      <c r="S22" s="3" t="s">
        <v>8</v>
      </c>
      <c r="T22" s="53" t="s">
        <v>122</v>
      </c>
      <c r="U22" s="54">
        <f t="shared" si="45"/>
        <v>45383</v>
      </c>
      <c r="V22" s="54" t="str">
        <f t="shared" si="45"/>
        <v>31/04/2024</v>
      </c>
      <c r="W22" s="5" t="str">
        <f t="shared" si="45"/>
        <v>#####</v>
      </c>
      <c r="X22" s="5" t="str">
        <f t="shared" si="45"/>
        <v>#####</v>
      </c>
      <c r="Y22" s="55"/>
      <c r="Z22" s="56"/>
      <c r="AA22" s="57">
        <v>5.2421340629274962</v>
      </c>
      <c r="AB22" s="56"/>
      <c r="AC22" s="56">
        <v>49000</v>
      </c>
      <c r="AD22" s="58">
        <v>6000</v>
      </c>
      <c r="AE22" s="14">
        <f t="shared" si="1"/>
        <v>55000</v>
      </c>
      <c r="AF22" s="59">
        <v>2500</v>
      </c>
      <c r="AG22" s="56">
        <v>2500</v>
      </c>
      <c r="AH22" s="56"/>
      <c r="AI22" s="56"/>
      <c r="AJ22" s="56"/>
      <c r="AK22" s="56"/>
      <c r="AL22" s="56"/>
      <c r="AM22" s="56"/>
      <c r="AN22" s="56"/>
      <c r="AO22" s="58"/>
      <c r="AP22" s="59">
        <f t="shared" si="2"/>
        <v>5000</v>
      </c>
      <c r="AQ22" s="56">
        <f t="shared" si="3"/>
        <v>60000</v>
      </c>
      <c r="AR22" s="58"/>
      <c r="AS22" s="60"/>
      <c r="AT22" s="61"/>
      <c r="AU22" s="61"/>
      <c r="AV22" s="56"/>
      <c r="AW22" s="56"/>
      <c r="AX22" s="56">
        <f t="shared" si="4"/>
        <v>209</v>
      </c>
      <c r="AY22" s="56">
        <f t="shared" si="5"/>
        <v>550</v>
      </c>
      <c r="AZ22" s="56">
        <f t="shared" si="6"/>
        <v>0</v>
      </c>
      <c r="BA22" s="56">
        <f t="shared" si="7"/>
        <v>759</v>
      </c>
      <c r="BB22" s="56">
        <f t="shared" si="8"/>
        <v>2310</v>
      </c>
      <c r="BC22" s="56">
        <f t="shared" si="9"/>
        <v>0</v>
      </c>
      <c r="BD22" s="56">
        <f t="shared" si="10"/>
        <v>0</v>
      </c>
      <c r="BE22" s="56">
        <f t="shared" si="11"/>
        <v>2310</v>
      </c>
      <c r="BF22" s="56">
        <f t="shared" si="12"/>
        <v>0</v>
      </c>
      <c r="BG22" s="56">
        <f t="shared" si="13"/>
        <v>0</v>
      </c>
      <c r="BH22" s="56">
        <f t="shared" si="14"/>
        <v>825</v>
      </c>
      <c r="BI22" s="56">
        <f t="shared" si="15"/>
        <v>550</v>
      </c>
      <c r="BJ22" s="56">
        <f t="shared" si="16"/>
        <v>1375</v>
      </c>
      <c r="BK22" s="56">
        <f t="shared" si="17"/>
        <v>2310</v>
      </c>
      <c r="BL22" s="56">
        <f t="shared" si="18"/>
        <v>3850.0000000000005</v>
      </c>
      <c r="BM22" s="56">
        <f t="shared" si="19"/>
        <v>962.50000000000011</v>
      </c>
      <c r="BN22" s="56">
        <f t="shared" si="20"/>
        <v>7122.5</v>
      </c>
      <c r="BO22" s="56">
        <f t="shared" si="21"/>
        <v>2134</v>
      </c>
      <c r="BP22" s="56">
        <f t="shared" si="22"/>
        <v>9432.5</v>
      </c>
      <c r="BQ22" s="56">
        <f t="shared" si="23"/>
        <v>11566.5</v>
      </c>
      <c r="BR22" s="56"/>
      <c r="BS22" s="56"/>
      <c r="BT22" s="62"/>
      <c r="BU22" s="63">
        <f t="shared" si="24"/>
        <v>28</v>
      </c>
      <c r="BV22" s="64" t="str">
        <f t="shared" si="24"/>
        <v>Mrs</v>
      </c>
      <c r="BW22" s="64" t="str">
        <f t="shared" si="24"/>
        <v>NDZAKOMO LYDIE épse BENGONO</v>
      </c>
      <c r="BX22" s="65" t="str">
        <f t="shared" si="25"/>
        <v>CE1-B</v>
      </c>
      <c r="BY22" s="66">
        <f t="shared" si="26"/>
        <v>45383</v>
      </c>
      <c r="BZ22" s="66" t="str">
        <f t="shared" si="26"/>
        <v>31/04/2024</v>
      </c>
      <c r="CA22" s="67" t="str">
        <f t="shared" si="26"/>
        <v>#####</v>
      </c>
      <c r="CB22" s="68" t="str">
        <f t="shared" si="26"/>
        <v>#####</v>
      </c>
      <c r="CC22" s="69">
        <f t="shared" si="27"/>
        <v>55000</v>
      </c>
      <c r="CD22" s="70">
        <f t="shared" si="28"/>
        <v>5000</v>
      </c>
      <c r="CE22" s="71">
        <f t="shared" si="29"/>
        <v>2134</v>
      </c>
      <c r="CF22" s="67">
        <f t="shared" si="29"/>
        <v>9432.5</v>
      </c>
      <c r="CG22" s="67">
        <f t="shared" si="29"/>
        <v>11566.5</v>
      </c>
      <c r="CH22" s="67">
        <f t="shared" si="30"/>
        <v>60000</v>
      </c>
      <c r="CI22" s="72"/>
      <c r="CJ22" s="73"/>
      <c r="CK22" s="63">
        <f t="shared" si="31"/>
        <v>28</v>
      </c>
      <c r="CL22" s="64" t="str">
        <f t="shared" si="31"/>
        <v>Mrs</v>
      </c>
      <c r="CM22" s="64" t="str">
        <f t="shared" si="31"/>
        <v>NDZAKOMO LYDIE épse BENGONO</v>
      </c>
      <c r="CN22" s="74" t="str">
        <f t="shared" si="31"/>
        <v>CE1-B</v>
      </c>
      <c r="CO22" s="69">
        <f t="shared" si="32"/>
        <v>0</v>
      </c>
      <c r="CP22" s="67">
        <f t="shared" si="32"/>
        <v>209</v>
      </c>
      <c r="CQ22" s="67">
        <f t="shared" si="32"/>
        <v>550</v>
      </c>
      <c r="CR22" s="67">
        <f t="shared" si="32"/>
        <v>0</v>
      </c>
      <c r="CS22" s="70">
        <f t="shared" si="32"/>
        <v>759</v>
      </c>
      <c r="CT22" s="71">
        <f t="shared" si="33"/>
        <v>0</v>
      </c>
      <c r="CU22" s="67">
        <f t="shared" si="33"/>
        <v>0</v>
      </c>
      <c r="CV22" s="67">
        <f t="shared" si="33"/>
        <v>825</v>
      </c>
      <c r="CW22" s="67">
        <f t="shared" si="33"/>
        <v>550</v>
      </c>
      <c r="CX22" s="68">
        <f t="shared" si="33"/>
        <v>1375</v>
      </c>
      <c r="CY22" s="75">
        <f t="shared" si="34"/>
        <v>2134</v>
      </c>
      <c r="CZ22" s="72"/>
      <c r="DA22" s="76"/>
      <c r="DB22" s="63">
        <f t="shared" si="35"/>
        <v>28</v>
      </c>
      <c r="DC22" s="64" t="str">
        <f t="shared" si="35"/>
        <v>Mrs</v>
      </c>
      <c r="DD22" s="64" t="str">
        <f t="shared" si="35"/>
        <v>NDZAKOMO LYDIE épse BENGONO</v>
      </c>
      <c r="DE22" s="74" t="str">
        <f t="shared" si="35"/>
        <v>CE1-B</v>
      </c>
      <c r="DF22" s="77">
        <f t="shared" si="36"/>
        <v>759</v>
      </c>
      <c r="DG22" s="64">
        <f t="shared" si="36"/>
        <v>2310</v>
      </c>
      <c r="DH22" s="64">
        <f t="shared" si="36"/>
        <v>0</v>
      </c>
      <c r="DI22" s="64">
        <f t="shared" si="36"/>
        <v>0</v>
      </c>
      <c r="DJ22" s="78">
        <f t="shared" si="36"/>
        <v>2310</v>
      </c>
      <c r="DK22" s="79">
        <f t="shared" si="37"/>
        <v>2310</v>
      </c>
      <c r="DL22" s="80">
        <f t="shared" si="37"/>
        <v>3850.0000000000005</v>
      </c>
      <c r="DM22" s="80">
        <f t="shared" si="37"/>
        <v>962.50000000000011</v>
      </c>
      <c r="DN22" s="80">
        <f t="shared" si="37"/>
        <v>7122.5</v>
      </c>
      <c r="DO22" s="81">
        <f t="shared" si="38"/>
        <v>9432.5</v>
      </c>
      <c r="DP22" s="82"/>
      <c r="DQ22" s="82"/>
      <c r="DR22" s="83">
        <f t="shared" si="46"/>
        <v>28</v>
      </c>
      <c r="DS22" s="64" t="str">
        <f t="shared" si="46"/>
        <v>Mrs</v>
      </c>
      <c r="DT22" s="64" t="str">
        <f t="shared" si="46"/>
        <v>NDZAKOMO LYDIE épse BENGONO</v>
      </c>
      <c r="DU22" s="84" t="str">
        <f t="shared" si="46"/>
        <v>CE1-B</v>
      </c>
      <c r="DV22" s="85">
        <f t="shared" si="46"/>
        <v>45383</v>
      </c>
      <c r="DW22" s="86" t="str">
        <f t="shared" si="46"/>
        <v>31/04/2024</v>
      </c>
      <c r="DX22" s="87" t="str">
        <f t="shared" si="40"/>
        <v>#####</v>
      </c>
      <c r="DY22" s="47" t="str">
        <f t="shared" si="44"/>
        <v>#####</v>
      </c>
      <c r="DZ22" s="50">
        <f t="shared" si="41"/>
        <v>60000</v>
      </c>
      <c r="EA22" s="88"/>
      <c r="EB22" s="50">
        <v>20000</v>
      </c>
      <c r="EC22" s="50">
        <v>15000</v>
      </c>
      <c r="ED22" s="50">
        <v>3000</v>
      </c>
      <c r="EE22" s="50"/>
      <c r="EF22" s="50"/>
      <c r="EG22" s="64">
        <f t="shared" si="42"/>
        <v>22000</v>
      </c>
      <c r="EH22" s="51" t="str">
        <f t="shared" si="43"/>
        <v>NDZAKOMO LYDIE épse BENGONO</v>
      </c>
    </row>
    <row r="23" spans="1:138" ht="30" customHeight="1">
      <c r="A23" s="1">
        <v>29</v>
      </c>
      <c r="B23" s="2" t="s">
        <v>0</v>
      </c>
      <c r="C23" s="1" t="s">
        <v>123</v>
      </c>
      <c r="D23" s="1" t="s">
        <v>124</v>
      </c>
      <c r="E23" s="1" t="s">
        <v>125</v>
      </c>
      <c r="F23" s="1" t="s">
        <v>126</v>
      </c>
      <c r="G23" s="1" t="s">
        <v>127</v>
      </c>
      <c r="H23" s="1" t="s">
        <v>128</v>
      </c>
      <c r="I23" s="3">
        <v>28958</v>
      </c>
      <c r="J23" s="3">
        <v>44075</v>
      </c>
      <c r="K23" s="3"/>
      <c r="L23" s="3">
        <v>50873</v>
      </c>
      <c r="M23" s="3" t="s">
        <v>129</v>
      </c>
      <c r="N23" s="3" t="s">
        <v>6</v>
      </c>
      <c r="O23" s="4">
        <v>695127818</v>
      </c>
      <c r="P23" s="4">
        <v>674781676</v>
      </c>
      <c r="Q23" s="3" t="s">
        <v>70</v>
      </c>
      <c r="R23" s="5">
        <v>4</v>
      </c>
      <c r="S23" s="6" t="s">
        <v>8</v>
      </c>
      <c r="T23" s="7" t="s">
        <v>103</v>
      </c>
      <c r="U23" s="8">
        <f t="shared" si="45"/>
        <v>45383</v>
      </c>
      <c r="V23" s="8" t="str">
        <f t="shared" si="45"/>
        <v>31/04/2024</v>
      </c>
      <c r="W23" s="5" t="str">
        <f t="shared" si="45"/>
        <v>#####</v>
      </c>
      <c r="X23" s="5" t="str">
        <f t="shared" si="45"/>
        <v>#####</v>
      </c>
      <c r="Y23" s="9"/>
      <c r="Z23" s="10"/>
      <c r="AA23" s="11">
        <v>3.2421340629274966</v>
      </c>
      <c r="AB23" s="12"/>
      <c r="AC23" s="12">
        <v>49000</v>
      </c>
      <c r="AD23" s="13">
        <v>3000</v>
      </c>
      <c r="AE23" s="14">
        <f t="shared" si="1"/>
        <v>52000</v>
      </c>
      <c r="AF23" s="15">
        <v>2500</v>
      </c>
      <c r="AG23" s="10">
        <v>2500</v>
      </c>
      <c r="AH23" s="16"/>
      <c r="AI23" s="12"/>
      <c r="AJ23" s="12"/>
      <c r="AK23" s="12"/>
      <c r="AL23" s="12"/>
      <c r="AM23" s="12"/>
      <c r="AN23" s="12"/>
      <c r="AO23" s="13"/>
      <c r="AP23" s="15">
        <f t="shared" si="2"/>
        <v>5000</v>
      </c>
      <c r="AQ23" s="10">
        <f t="shared" si="3"/>
        <v>57000</v>
      </c>
      <c r="AR23" s="13"/>
      <c r="AS23" s="17"/>
      <c r="AT23" s="10"/>
      <c r="AU23" s="10"/>
      <c r="AV23" s="12"/>
      <c r="AW23" s="12"/>
      <c r="AX23" s="12">
        <f t="shared" si="4"/>
        <v>197.6</v>
      </c>
      <c r="AY23" s="12">
        <f t="shared" si="5"/>
        <v>520</v>
      </c>
      <c r="AZ23" s="12">
        <f t="shared" si="6"/>
        <v>0</v>
      </c>
      <c r="BA23" s="12">
        <f t="shared" si="7"/>
        <v>717.6</v>
      </c>
      <c r="BB23" s="12">
        <f t="shared" si="8"/>
        <v>2184</v>
      </c>
      <c r="BC23" s="12">
        <f t="shared" si="9"/>
        <v>0</v>
      </c>
      <c r="BD23" s="12">
        <f t="shared" si="10"/>
        <v>0</v>
      </c>
      <c r="BE23" s="12">
        <f t="shared" si="11"/>
        <v>2184</v>
      </c>
      <c r="BF23" s="12">
        <f t="shared" si="12"/>
        <v>0</v>
      </c>
      <c r="BG23" s="12">
        <f t="shared" si="13"/>
        <v>0</v>
      </c>
      <c r="BH23" s="12">
        <f t="shared" si="14"/>
        <v>780</v>
      </c>
      <c r="BI23" s="12">
        <f t="shared" si="15"/>
        <v>520</v>
      </c>
      <c r="BJ23" s="12">
        <f t="shared" si="16"/>
        <v>1300</v>
      </c>
      <c r="BK23" s="12">
        <f t="shared" si="17"/>
        <v>2184</v>
      </c>
      <c r="BL23" s="12">
        <f t="shared" si="18"/>
        <v>3640.0000000000005</v>
      </c>
      <c r="BM23" s="12">
        <f t="shared" si="19"/>
        <v>910.00000000000011</v>
      </c>
      <c r="BN23" s="12">
        <f t="shared" si="20"/>
        <v>6734</v>
      </c>
      <c r="BO23" s="12">
        <f t="shared" si="21"/>
        <v>2017.6</v>
      </c>
      <c r="BP23" s="10">
        <f t="shared" si="22"/>
        <v>8918</v>
      </c>
      <c r="BQ23" s="10">
        <f t="shared" si="23"/>
        <v>10935.6</v>
      </c>
      <c r="BR23" s="12"/>
      <c r="BS23" s="12"/>
      <c r="BT23" s="18"/>
      <c r="BU23" s="19">
        <f t="shared" si="24"/>
        <v>29</v>
      </c>
      <c r="BV23" s="20" t="str">
        <f t="shared" si="24"/>
        <v>Mrs</v>
      </c>
      <c r="BW23" s="20" t="str">
        <f t="shared" si="24"/>
        <v>MUMENG PRUDENCIA NDZI</v>
      </c>
      <c r="BX23" s="21" t="str">
        <f t="shared" si="25"/>
        <v>CE2-A</v>
      </c>
      <c r="BY23" s="22">
        <f t="shared" si="26"/>
        <v>45383</v>
      </c>
      <c r="BZ23" s="22" t="str">
        <f t="shared" si="26"/>
        <v>31/04/2024</v>
      </c>
      <c r="CA23" s="23" t="str">
        <f t="shared" si="26"/>
        <v>#####</v>
      </c>
      <c r="CB23" s="24" t="str">
        <f t="shared" si="26"/>
        <v>#####</v>
      </c>
      <c r="CC23" s="25">
        <f t="shared" si="27"/>
        <v>52000</v>
      </c>
      <c r="CD23" s="26">
        <f t="shared" si="28"/>
        <v>5000</v>
      </c>
      <c r="CE23" s="27">
        <f t="shared" si="29"/>
        <v>2017.6</v>
      </c>
      <c r="CF23" s="28">
        <f t="shared" si="29"/>
        <v>8918</v>
      </c>
      <c r="CG23" s="28">
        <f t="shared" si="29"/>
        <v>10935.6</v>
      </c>
      <c r="CH23" s="23">
        <f t="shared" si="30"/>
        <v>57000</v>
      </c>
      <c r="CI23" s="29"/>
      <c r="CJ23" s="30"/>
      <c r="CK23" s="19">
        <f t="shared" si="31"/>
        <v>29</v>
      </c>
      <c r="CL23" s="20" t="str">
        <f t="shared" si="31"/>
        <v>Mrs</v>
      </c>
      <c r="CM23" s="20" t="str">
        <f t="shared" si="31"/>
        <v>MUMENG PRUDENCIA NDZI</v>
      </c>
      <c r="CN23" s="31" t="str">
        <f t="shared" si="31"/>
        <v>CE2-A</v>
      </c>
      <c r="CO23" s="25">
        <f t="shared" si="32"/>
        <v>0</v>
      </c>
      <c r="CP23" s="23">
        <f t="shared" si="32"/>
        <v>197.6</v>
      </c>
      <c r="CQ23" s="23">
        <f t="shared" si="32"/>
        <v>520</v>
      </c>
      <c r="CR23" s="23">
        <f t="shared" si="32"/>
        <v>0</v>
      </c>
      <c r="CS23" s="32">
        <f t="shared" si="32"/>
        <v>717.6</v>
      </c>
      <c r="CT23" s="33">
        <f t="shared" si="33"/>
        <v>0</v>
      </c>
      <c r="CU23" s="23">
        <f t="shared" si="33"/>
        <v>0</v>
      </c>
      <c r="CV23" s="23">
        <f t="shared" si="33"/>
        <v>780</v>
      </c>
      <c r="CW23" s="23">
        <f t="shared" si="33"/>
        <v>520</v>
      </c>
      <c r="CX23" s="24">
        <f t="shared" si="33"/>
        <v>1300</v>
      </c>
      <c r="CY23" s="34">
        <f t="shared" si="34"/>
        <v>2017.6</v>
      </c>
      <c r="CZ23" s="29"/>
      <c r="DA23" s="35"/>
      <c r="DB23" s="19">
        <f t="shared" si="35"/>
        <v>29</v>
      </c>
      <c r="DC23" s="20" t="str">
        <f t="shared" si="35"/>
        <v>Mrs</v>
      </c>
      <c r="DD23" s="20" t="str">
        <f t="shared" si="35"/>
        <v>MUMENG PRUDENCIA NDZI</v>
      </c>
      <c r="DE23" s="31" t="str">
        <f t="shared" si="35"/>
        <v>CE2-A</v>
      </c>
      <c r="DF23" s="36">
        <f t="shared" si="36"/>
        <v>717.6</v>
      </c>
      <c r="DG23" s="20">
        <f t="shared" si="36"/>
        <v>2184</v>
      </c>
      <c r="DH23" s="20">
        <f t="shared" si="36"/>
        <v>0</v>
      </c>
      <c r="DI23" s="20">
        <f t="shared" si="36"/>
        <v>0</v>
      </c>
      <c r="DJ23" s="37">
        <f t="shared" si="36"/>
        <v>2184</v>
      </c>
      <c r="DK23" s="38">
        <f t="shared" si="37"/>
        <v>2184</v>
      </c>
      <c r="DL23" s="39">
        <f t="shared" si="37"/>
        <v>3640.0000000000005</v>
      </c>
      <c r="DM23" s="40">
        <f t="shared" si="37"/>
        <v>910.00000000000011</v>
      </c>
      <c r="DN23" s="39">
        <f t="shared" si="37"/>
        <v>6734</v>
      </c>
      <c r="DO23" s="41">
        <f t="shared" si="38"/>
        <v>8918</v>
      </c>
      <c r="DP23" s="42"/>
      <c r="DQ23" s="42"/>
      <c r="DR23" s="43">
        <f t="shared" si="46"/>
        <v>29</v>
      </c>
      <c r="DS23" s="20" t="str">
        <f t="shared" si="46"/>
        <v>Mrs</v>
      </c>
      <c r="DT23" s="20" t="str">
        <f t="shared" si="46"/>
        <v>MUMENG PRUDENCIA NDZI</v>
      </c>
      <c r="DU23" s="44" t="str">
        <f t="shared" si="46"/>
        <v>CE2-A</v>
      </c>
      <c r="DV23" s="45">
        <f t="shared" si="46"/>
        <v>45383</v>
      </c>
      <c r="DW23" s="46" t="str">
        <f t="shared" si="46"/>
        <v>31/04/2024</v>
      </c>
      <c r="DX23" s="87" t="str">
        <f t="shared" si="40"/>
        <v>#####</v>
      </c>
      <c r="DY23" s="47" t="str">
        <f t="shared" si="44"/>
        <v>#####</v>
      </c>
      <c r="DZ23" s="48">
        <f t="shared" si="41"/>
        <v>57000</v>
      </c>
      <c r="EA23" s="49"/>
      <c r="EB23" s="48"/>
      <c r="EC23" s="48">
        <v>15000</v>
      </c>
      <c r="ED23" s="48">
        <v>3000</v>
      </c>
      <c r="EE23" s="50"/>
      <c r="EF23" s="48"/>
      <c r="EG23" s="20">
        <f t="shared" si="42"/>
        <v>39000</v>
      </c>
      <c r="EH23" s="51" t="str">
        <f t="shared" si="43"/>
        <v>MUMENG PRUDENCIA NDZI</v>
      </c>
    </row>
    <row r="24" spans="1:138" ht="23.25" customHeight="1">
      <c r="A24" s="1">
        <v>30</v>
      </c>
      <c r="B24" s="2" t="s">
        <v>26</v>
      </c>
      <c r="C24" s="1" t="s">
        <v>130</v>
      </c>
      <c r="D24" s="1" t="s">
        <v>98</v>
      </c>
      <c r="E24" s="1" t="s">
        <v>124</v>
      </c>
      <c r="F24" s="1" t="s">
        <v>30</v>
      </c>
      <c r="G24" s="1" t="s">
        <v>131</v>
      </c>
      <c r="H24" s="1" t="s">
        <v>132</v>
      </c>
      <c r="I24" s="3">
        <v>31484</v>
      </c>
      <c r="J24" s="3">
        <v>44124</v>
      </c>
      <c r="K24" s="3"/>
      <c r="L24" s="3">
        <v>53399</v>
      </c>
      <c r="M24" s="3" t="s">
        <v>133</v>
      </c>
      <c r="N24" s="3" t="s">
        <v>134</v>
      </c>
      <c r="O24" s="4">
        <v>698091551</v>
      </c>
      <c r="P24" s="4"/>
      <c r="Q24" s="3" t="s">
        <v>17</v>
      </c>
      <c r="R24" s="52">
        <v>0</v>
      </c>
      <c r="S24" s="3" t="s">
        <v>8</v>
      </c>
      <c r="T24" s="53" t="s">
        <v>135</v>
      </c>
      <c r="U24" s="54">
        <f t="shared" si="45"/>
        <v>45383</v>
      </c>
      <c r="V24" s="54" t="str">
        <f t="shared" si="45"/>
        <v>31/04/2024</v>
      </c>
      <c r="W24" s="5" t="str">
        <f t="shared" si="45"/>
        <v>#####</v>
      </c>
      <c r="X24" s="5" t="str">
        <f t="shared" si="45"/>
        <v>#####</v>
      </c>
      <c r="Y24" s="55"/>
      <c r="Z24" s="56"/>
      <c r="AA24" s="57">
        <v>3.1080711354309165</v>
      </c>
      <c r="AB24" s="56"/>
      <c r="AC24" s="56">
        <v>47000</v>
      </c>
      <c r="AD24" s="58">
        <v>3000</v>
      </c>
      <c r="AE24" s="14">
        <f t="shared" si="1"/>
        <v>50000</v>
      </c>
      <c r="AF24" s="59">
        <v>2500</v>
      </c>
      <c r="AG24" s="56">
        <v>2500</v>
      </c>
      <c r="AH24" s="56"/>
      <c r="AI24" s="56"/>
      <c r="AJ24" s="56"/>
      <c r="AK24" s="56"/>
      <c r="AL24" s="56"/>
      <c r="AM24" s="56"/>
      <c r="AN24" s="56"/>
      <c r="AO24" s="58"/>
      <c r="AP24" s="59">
        <f t="shared" si="2"/>
        <v>5000</v>
      </c>
      <c r="AQ24" s="56">
        <f t="shared" si="3"/>
        <v>55000</v>
      </c>
      <c r="AR24" s="58"/>
      <c r="AS24" s="60"/>
      <c r="AT24" s="61"/>
      <c r="AU24" s="61"/>
      <c r="AV24" s="56"/>
      <c r="AW24" s="56"/>
      <c r="AX24" s="56">
        <f t="shared" si="4"/>
        <v>190</v>
      </c>
      <c r="AY24" s="56">
        <f t="shared" si="5"/>
        <v>500</v>
      </c>
      <c r="AZ24" s="56">
        <f t="shared" si="6"/>
        <v>0</v>
      </c>
      <c r="BA24" s="56">
        <f t="shared" si="7"/>
        <v>690</v>
      </c>
      <c r="BB24" s="56">
        <f t="shared" si="8"/>
        <v>2100</v>
      </c>
      <c r="BC24" s="56">
        <f t="shared" si="9"/>
        <v>0</v>
      </c>
      <c r="BD24" s="56">
        <f t="shared" si="10"/>
        <v>0</v>
      </c>
      <c r="BE24" s="56">
        <f t="shared" si="11"/>
        <v>2100</v>
      </c>
      <c r="BF24" s="56">
        <f t="shared" si="12"/>
        <v>0</v>
      </c>
      <c r="BG24" s="56">
        <f t="shared" si="13"/>
        <v>0</v>
      </c>
      <c r="BH24" s="56">
        <f t="shared" si="14"/>
        <v>750</v>
      </c>
      <c r="BI24" s="56">
        <f t="shared" si="15"/>
        <v>500</v>
      </c>
      <c r="BJ24" s="56">
        <f t="shared" si="16"/>
        <v>1250</v>
      </c>
      <c r="BK24" s="56">
        <f t="shared" si="17"/>
        <v>2100</v>
      </c>
      <c r="BL24" s="56">
        <f t="shared" si="18"/>
        <v>3500.0000000000005</v>
      </c>
      <c r="BM24" s="56">
        <f t="shared" si="19"/>
        <v>875.00000000000011</v>
      </c>
      <c r="BN24" s="56">
        <f t="shared" si="20"/>
        <v>6475</v>
      </c>
      <c r="BO24" s="56">
        <f t="shared" si="21"/>
        <v>1940</v>
      </c>
      <c r="BP24" s="56">
        <f t="shared" si="22"/>
        <v>8575</v>
      </c>
      <c r="BQ24" s="56">
        <f t="shared" si="23"/>
        <v>10515</v>
      </c>
      <c r="BR24" s="56"/>
      <c r="BS24" s="56"/>
      <c r="BT24" s="62"/>
      <c r="BU24" s="63">
        <f t="shared" si="24"/>
        <v>30</v>
      </c>
      <c r="BV24" s="64" t="str">
        <f t="shared" si="24"/>
        <v xml:space="preserve">Mr </v>
      </c>
      <c r="BW24" s="64" t="str">
        <f t="shared" si="24"/>
        <v>SAIDOU HAMAN</v>
      </c>
      <c r="BX24" s="65" t="str">
        <f t="shared" si="25"/>
        <v>CE2-B</v>
      </c>
      <c r="BY24" s="66">
        <f t="shared" si="26"/>
        <v>45383</v>
      </c>
      <c r="BZ24" s="66" t="str">
        <f t="shared" si="26"/>
        <v>31/04/2024</v>
      </c>
      <c r="CA24" s="67" t="str">
        <f t="shared" si="26"/>
        <v>#####</v>
      </c>
      <c r="CB24" s="68" t="str">
        <f t="shared" si="26"/>
        <v>#####</v>
      </c>
      <c r="CC24" s="69">
        <f t="shared" si="27"/>
        <v>50000</v>
      </c>
      <c r="CD24" s="70">
        <f t="shared" si="28"/>
        <v>5000</v>
      </c>
      <c r="CE24" s="71">
        <f t="shared" si="29"/>
        <v>1940</v>
      </c>
      <c r="CF24" s="67">
        <f t="shared" si="29"/>
        <v>8575</v>
      </c>
      <c r="CG24" s="67">
        <f t="shared" si="29"/>
        <v>10515</v>
      </c>
      <c r="CH24" s="67">
        <f t="shared" si="30"/>
        <v>55000</v>
      </c>
      <c r="CI24" s="72"/>
      <c r="CJ24" s="73"/>
      <c r="CK24" s="63">
        <f t="shared" si="31"/>
        <v>30</v>
      </c>
      <c r="CL24" s="64" t="str">
        <f t="shared" si="31"/>
        <v xml:space="preserve">Mr </v>
      </c>
      <c r="CM24" s="64" t="str">
        <f t="shared" si="31"/>
        <v>SAIDOU HAMAN</v>
      </c>
      <c r="CN24" s="74" t="str">
        <f t="shared" si="31"/>
        <v>CE2-B</v>
      </c>
      <c r="CO24" s="69">
        <f t="shared" si="32"/>
        <v>0</v>
      </c>
      <c r="CP24" s="67">
        <f t="shared" si="32"/>
        <v>190</v>
      </c>
      <c r="CQ24" s="67">
        <f t="shared" si="32"/>
        <v>500</v>
      </c>
      <c r="CR24" s="67">
        <f t="shared" si="32"/>
        <v>0</v>
      </c>
      <c r="CS24" s="70">
        <f t="shared" si="32"/>
        <v>690</v>
      </c>
      <c r="CT24" s="71">
        <f t="shared" si="33"/>
        <v>0</v>
      </c>
      <c r="CU24" s="67">
        <f t="shared" si="33"/>
        <v>0</v>
      </c>
      <c r="CV24" s="67">
        <f t="shared" si="33"/>
        <v>750</v>
      </c>
      <c r="CW24" s="67">
        <f t="shared" si="33"/>
        <v>500</v>
      </c>
      <c r="CX24" s="68">
        <f t="shared" si="33"/>
        <v>1250</v>
      </c>
      <c r="CY24" s="75">
        <f t="shared" si="34"/>
        <v>1940</v>
      </c>
      <c r="CZ24" s="72"/>
      <c r="DA24" s="76"/>
      <c r="DB24" s="63">
        <f t="shared" si="35"/>
        <v>30</v>
      </c>
      <c r="DC24" s="64" t="str">
        <f t="shared" si="35"/>
        <v xml:space="preserve">Mr </v>
      </c>
      <c r="DD24" s="64" t="str">
        <f t="shared" si="35"/>
        <v>SAIDOU HAMAN</v>
      </c>
      <c r="DE24" s="74" t="str">
        <f t="shared" si="35"/>
        <v>CE2-B</v>
      </c>
      <c r="DF24" s="77">
        <f t="shared" si="36"/>
        <v>690</v>
      </c>
      <c r="DG24" s="64">
        <f t="shared" si="36"/>
        <v>2100</v>
      </c>
      <c r="DH24" s="64">
        <f t="shared" si="36"/>
        <v>0</v>
      </c>
      <c r="DI24" s="64">
        <f t="shared" si="36"/>
        <v>0</v>
      </c>
      <c r="DJ24" s="78">
        <f t="shared" si="36"/>
        <v>2100</v>
      </c>
      <c r="DK24" s="79">
        <f t="shared" si="37"/>
        <v>2100</v>
      </c>
      <c r="DL24" s="80">
        <f t="shared" si="37"/>
        <v>3500.0000000000005</v>
      </c>
      <c r="DM24" s="80">
        <f t="shared" si="37"/>
        <v>875.00000000000011</v>
      </c>
      <c r="DN24" s="80">
        <f t="shared" si="37"/>
        <v>6475</v>
      </c>
      <c r="DO24" s="81">
        <f t="shared" si="38"/>
        <v>8575</v>
      </c>
      <c r="DP24" s="82"/>
      <c r="DQ24" s="82"/>
      <c r="DR24" s="83">
        <f t="shared" si="46"/>
        <v>30</v>
      </c>
      <c r="DS24" s="64" t="str">
        <f t="shared" si="46"/>
        <v xml:space="preserve">Mr </v>
      </c>
      <c r="DT24" s="64" t="str">
        <f t="shared" si="46"/>
        <v>SAIDOU HAMAN</v>
      </c>
      <c r="DU24" s="84" t="str">
        <f t="shared" si="46"/>
        <v>CE2-B</v>
      </c>
      <c r="DV24" s="85">
        <f t="shared" si="46"/>
        <v>45383</v>
      </c>
      <c r="DW24" s="86" t="str">
        <f t="shared" si="46"/>
        <v>31/04/2024</v>
      </c>
      <c r="DX24" s="87" t="str">
        <f t="shared" si="40"/>
        <v>#####</v>
      </c>
      <c r="DY24" s="47" t="str">
        <f t="shared" si="44"/>
        <v>#####</v>
      </c>
      <c r="DZ24" s="50">
        <f t="shared" si="41"/>
        <v>55000</v>
      </c>
      <c r="EA24" s="88"/>
      <c r="EB24" s="50"/>
      <c r="EC24" s="50">
        <v>15000</v>
      </c>
      <c r="ED24" s="50">
        <v>3000</v>
      </c>
      <c r="EE24" s="50"/>
      <c r="EF24" s="50"/>
      <c r="EG24" s="64">
        <f t="shared" si="42"/>
        <v>37000</v>
      </c>
      <c r="EH24" s="51" t="str">
        <f t="shared" si="43"/>
        <v>SAIDOU HAMAN</v>
      </c>
    </row>
    <row r="25" spans="1:138" ht="17.399999999999999" customHeight="1">
      <c r="A25" s="1">
        <v>31</v>
      </c>
      <c r="B25" s="2" t="s">
        <v>85</v>
      </c>
      <c r="C25" s="1" t="s">
        <v>136</v>
      </c>
      <c r="D25" s="1"/>
      <c r="E25" s="1" t="s">
        <v>137</v>
      </c>
      <c r="F25" s="1"/>
      <c r="G25" s="1" t="s">
        <v>138</v>
      </c>
      <c r="H25" s="1" t="s">
        <v>139</v>
      </c>
      <c r="I25" s="3">
        <v>31380</v>
      </c>
      <c r="J25" s="3">
        <v>44841</v>
      </c>
      <c r="K25" s="3"/>
      <c r="L25" s="3">
        <v>53295</v>
      </c>
      <c r="M25" s="3" t="s">
        <v>140</v>
      </c>
      <c r="N25" s="3" t="s">
        <v>141</v>
      </c>
      <c r="O25" s="4">
        <v>699093841</v>
      </c>
      <c r="P25" s="4">
        <v>672772087</v>
      </c>
      <c r="Q25" s="3" t="s">
        <v>142</v>
      </c>
      <c r="R25" s="5">
        <v>1</v>
      </c>
      <c r="S25" s="6" t="s">
        <v>8</v>
      </c>
      <c r="T25" s="7" t="s">
        <v>103</v>
      </c>
      <c r="U25" s="8">
        <f t="shared" si="45"/>
        <v>45383</v>
      </c>
      <c r="V25" s="8" t="str">
        <f t="shared" si="45"/>
        <v>31/04/2024</v>
      </c>
      <c r="W25" s="5" t="str">
        <f t="shared" si="45"/>
        <v>#####</v>
      </c>
      <c r="X25" s="5" t="str">
        <f t="shared" si="45"/>
        <v>#####</v>
      </c>
      <c r="Y25" s="9"/>
      <c r="Z25" s="10"/>
      <c r="AA25" s="11">
        <v>1.146374829001368</v>
      </c>
      <c r="AB25" s="12"/>
      <c r="AC25" s="12">
        <v>45000</v>
      </c>
      <c r="AD25" s="13">
        <v>1000</v>
      </c>
      <c r="AE25" s="14">
        <f t="shared" si="1"/>
        <v>46000</v>
      </c>
      <c r="AF25" s="15">
        <v>2500</v>
      </c>
      <c r="AG25" s="10">
        <v>2500</v>
      </c>
      <c r="AH25" s="16"/>
      <c r="AI25" s="12"/>
      <c r="AJ25" s="12"/>
      <c r="AK25" s="12"/>
      <c r="AL25" s="12"/>
      <c r="AM25" s="12"/>
      <c r="AN25" s="12"/>
      <c r="AO25" s="13"/>
      <c r="AP25" s="15">
        <f t="shared" si="2"/>
        <v>5000</v>
      </c>
      <c r="AQ25" s="10">
        <f t="shared" si="3"/>
        <v>51000</v>
      </c>
      <c r="AR25" s="13"/>
      <c r="AS25" s="17"/>
      <c r="AT25" s="10"/>
      <c r="AU25" s="10"/>
      <c r="AV25" s="12"/>
      <c r="AW25" s="12"/>
      <c r="AX25" s="12">
        <f t="shared" si="4"/>
        <v>174.8</v>
      </c>
      <c r="AY25" s="12">
        <f t="shared" si="5"/>
        <v>460</v>
      </c>
      <c r="AZ25" s="12">
        <f t="shared" si="6"/>
        <v>0</v>
      </c>
      <c r="BA25" s="12">
        <f t="shared" si="7"/>
        <v>634.79999999999995</v>
      </c>
      <c r="BB25" s="12">
        <f t="shared" si="8"/>
        <v>1932.0000000000002</v>
      </c>
      <c r="BC25" s="12">
        <f t="shared" si="9"/>
        <v>0</v>
      </c>
      <c r="BD25" s="12">
        <f t="shared" si="10"/>
        <v>0</v>
      </c>
      <c r="BE25" s="12">
        <f t="shared" si="11"/>
        <v>1932.0000000000002</v>
      </c>
      <c r="BF25" s="12">
        <f t="shared" si="12"/>
        <v>0</v>
      </c>
      <c r="BG25" s="12">
        <f t="shared" si="13"/>
        <v>0</v>
      </c>
      <c r="BH25" s="12">
        <f t="shared" si="14"/>
        <v>690</v>
      </c>
      <c r="BI25" s="12">
        <f t="shared" si="15"/>
        <v>460</v>
      </c>
      <c r="BJ25" s="12">
        <f t="shared" si="16"/>
        <v>1150</v>
      </c>
      <c r="BK25" s="12">
        <f t="shared" si="17"/>
        <v>1932.0000000000002</v>
      </c>
      <c r="BL25" s="12">
        <f t="shared" si="18"/>
        <v>3220.0000000000005</v>
      </c>
      <c r="BM25" s="12">
        <f t="shared" si="19"/>
        <v>805.00000000000011</v>
      </c>
      <c r="BN25" s="12">
        <f t="shared" si="20"/>
        <v>5957.0000000000009</v>
      </c>
      <c r="BO25" s="12">
        <f t="shared" si="21"/>
        <v>1784.8</v>
      </c>
      <c r="BP25" s="10">
        <f t="shared" si="22"/>
        <v>7889.0000000000009</v>
      </c>
      <c r="BQ25" s="10">
        <f t="shared" si="23"/>
        <v>9673.8000000000011</v>
      </c>
      <c r="BR25" s="12"/>
      <c r="BS25" s="12"/>
      <c r="BT25" s="18"/>
      <c r="BU25" s="19">
        <f t="shared" si="24"/>
        <v>31</v>
      </c>
      <c r="BV25" s="20" t="str">
        <f t="shared" si="24"/>
        <v>Mlle</v>
      </c>
      <c r="BW25" s="20" t="str">
        <f t="shared" si="24"/>
        <v>DJATOTE PAULINE CLARISSE</v>
      </c>
      <c r="BX25" s="21" t="str">
        <f t="shared" si="25"/>
        <v>CM1-A</v>
      </c>
      <c r="BY25" s="22">
        <f t="shared" si="26"/>
        <v>45383</v>
      </c>
      <c r="BZ25" s="22" t="str">
        <f t="shared" si="26"/>
        <v>31/04/2024</v>
      </c>
      <c r="CA25" s="23" t="str">
        <f t="shared" si="26"/>
        <v>#####</v>
      </c>
      <c r="CB25" s="24" t="str">
        <f t="shared" si="26"/>
        <v>#####</v>
      </c>
      <c r="CC25" s="25">
        <f t="shared" si="27"/>
        <v>46000</v>
      </c>
      <c r="CD25" s="26">
        <f t="shared" si="28"/>
        <v>5000</v>
      </c>
      <c r="CE25" s="27">
        <f t="shared" si="29"/>
        <v>1784.8</v>
      </c>
      <c r="CF25" s="28">
        <f t="shared" si="29"/>
        <v>7889.0000000000009</v>
      </c>
      <c r="CG25" s="28">
        <f t="shared" si="29"/>
        <v>9673.8000000000011</v>
      </c>
      <c r="CH25" s="23">
        <f t="shared" si="30"/>
        <v>51000</v>
      </c>
      <c r="CI25" s="29"/>
      <c r="CJ25" s="30"/>
      <c r="CK25" s="19">
        <f t="shared" si="31"/>
        <v>31</v>
      </c>
      <c r="CL25" s="20" t="str">
        <f t="shared" si="31"/>
        <v>Mlle</v>
      </c>
      <c r="CM25" s="20" t="str">
        <f t="shared" si="31"/>
        <v>DJATOTE PAULINE CLARISSE</v>
      </c>
      <c r="CN25" s="31" t="str">
        <f t="shared" si="31"/>
        <v>CM1-A</v>
      </c>
      <c r="CO25" s="25">
        <f t="shared" si="32"/>
        <v>0</v>
      </c>
      <c r="CP25" s="23">
        <f t="shared" si="32"/>
        <v>174.8</v>
      </c>
      <c r="CQ25" s="23">
        <f t="shared" si="32"/>
        <v>460</v>
      </c>
      <c r="CR25" s="23">
        <f t="shared" si="32"/>
        <v>0</v>
      </c>
      <c r="CS25" s="32">
        <f t="shared" si="32"/>
        <v>634.79999999999995</v>
      </c>
      <c r="CT25" s="33">
        <f t="shared" si="33"/>
        <v>0</v>
      </c>
      <c r="CU25" s="23">
        <f t="shared" si="33"/>
        <v>0</v>
      </c>
      <c r="CV25" s="23">
        <f t="shared" si="33"/>
        <v>690</v>
      </c>
      <c r="CW25" s="23">
        <f t="shared" si="33"/>
        <v>460</v>
      </c>
      <c r="CX25" s="24">
        <f t="shared" si="33"/>
        <v>1150</v>
      </c>
      <c r="CY25" s="34">
        <f t="shared" si="34"/>
        <v>1784.8</v>
      </c>
      <c r="CZ25" s="29"/>
      <c r="DA25" s="35"/>
      <c r="DB25" s="19">
        <f t="shared" si="35"/>
        <v>31</v>
      </c>
      <c r="DC25" s="20" t="str">
        <f t="shared" si="35"/>
        <v>Mlle</v>
      </c>
      <c r="DD25" s="20" t="str">
        <f t="shared" si="35"/>
        <v>DJATOTE PAULINE CLARISSE</v>
      </c>
      <c r="DE25" s="31" t="str">
        <f t="shared" si="35"/>
        <v>CM1-A</v>
      </c>
      <c r="DF25" s="36">
        <f t="shared" si="36"/>
        <v>634.79999999999995</v>
      </c>
      <c r="DG25" s="20">
        <f t="shared" si="36"/>
        <v>1932.0000000000002</v>
      </c>
      <c r="DH25" s="20">
        <f t="shared" si="36"/>
        <v>0</v>
      </c>
      <c r="DI25" s="20">
        <f t="shared" si="36"/>
        <v>0</v>
      </c>
      <c r="DJ25" s="37">
        <f t="shared" si="36"/>
        <v>1932.0000000000002</v>
      </c>
      <c r="DK25" s="38">
        <f t="shared" si="37"/>
        <v>1932.0000000000002</v>
      </c>
      <c r="DL25" s="39">
        <f t="shared" si="37"/>
        <v>3220.0000000000005</v>
      </c>
      <c r="DM25" s="40">
        <f t="shared" si="37"/>
        <v>805.00000000000011</v>
      </c>
      <c r="DN25" s="39">
        <f t="shared" si="37"/>
        <v>5957.0000000000009</v>
      </c>
      <c r="DO25" s="41">
        <f t="shared" si="38"/>
        <v>7889.0000000000009</v>
      </c>
      <c r="DP25" s="42"/>
      <c r="DQ25" s="42"/>
      <c r="DR25" s="43">
        <f t="shared" si="46"/>
        <v>31</v>
      </c>
      <c r="DS25" s="20" t="str">
        <f t="shared" si="46"/>
        <v>Mlle</v>
      </c>
      <c r="DT25" s="20" t="str">
        <f t="shared" si="46"/>
        <v>DJATOTE PAULINE CLARISSE</v>
      </c>
      <c r="DU25" s="44" t="str">
        <f t="shared" si="46"/>
        <v>CM1-A</v>
      </c>
      <c r="DV25" s="45">
        <f t="shared" si="46"/>
        <v>45383</v>
      </c>
      <c r="DW25" s="46" t="str">
        <f t="shared" si="46"/>
        <v>31/04/2024</v>
      </c>
      <c r="DX25" s="87" t="str">
        <f t="shared" si="40"/>
        <v>#####</v>
      </c>
      <c r="DY25" s="47" t="str">
        <f t="shared" si="44"/>
        <v>#####</v>
      </c>
      <c r="DZ25" s="48">
        <f t="shared" si="41"/>
        <v>51000</v>
      </c>
      <c r="EA25" s="49"/>
      <c r="EB25" s="48"/>
      <c r="EC25" s="48">
        <v>15000</v>
      </c>
      <c r="ED25" s="48">
        <v>3000</v>
      </c>
      <c r="EE25" s="50"/>
      <c r="EF25" s="48"/>
      <c r="EG25" s="20">
        <f t="shared" si="42"/>
        <v>33000</v>
      </c>
      <c r="EH25" s="51" t="str">
        <f t="shared" si="43"/>
        <v>DJATOTE PAULINE CLARISSE</v>
      </c>
    </row>
    <row r="26" spans="1:138" ht="17.399999999999999" customHeight="1">
      <c r="A26" s="1">
        <v>32</v>
      </c>
      <c r="B26" s="2" t="s">
        <v>85</v>
      </c>
      <c r="C26" s="1" t="s">
        <v>143</v>
      </c>
      <c r="D26" s="1"/>
      <c r="E26" s="1" t="s">
        <v>144</v>
      </c>
      <c r="F26" s="1"/>
      <c r="G26" s="1" t="s">
        <v>145</v>
      </c>
      <c r="H26" s="1" t="s">
        <v>146</v>
      </c>
      <c r="I26" s="3">
        <v>33996</v>
      </c>
      <c r="J26" s="3">
        <v>45170</v>
      </c>
      <c r="K26" s="3"/>
      <c r="L26" s="3"/>
      <c r="M26" s="3" t="s">
        <v>147</v>
      </c>
      <c r="N26" s="3" t="s">
        <v>148</v>
      </c>
      <c r="O26" s="4">
        <v>693796733</v>
      </c>
      <c r="P26" s="4"/>
      <c r="Q26" s="3" t="s">
        <v>17</v>
      </c>
      <c r="R26" s="52">
        <v>2</v>
      </c>
      <c r="S26" s="3" t="s">
        <v>8</v>
      </c>
      <c r="T26" s="53" t="s">
        <v>71</v>
      </c>
      <c r="U26" s="54">
        <f t="shared" si="45"/>
        <v>45383</v>
      </c>
      <c r="V26" s="54" t="str">
        <f t="shared" si="45"/>
        <v>31/04/2024</v>
      </c>
      <c r="W26" s="5" t="str">
        <f t="shared" si="45"/>
        <v>#####</v>
      </c>
      <c r="X26" s="5" t="str">
        <f t="shared" si="45"/>
        <v>#####</v>
      </c>
      <c r="Y26" s="55"/>
      <c r="Z26" s="56"/>
      <c r="AA26" s="57">
        <v>0.24623803009575923</v>
      </c>
      <c r="AB26" s="56"/>
      <c r="AC26" s="56">
        <v>40000</v>
      </c>
      <c r="AD26" s="58">
        <v>0</v>
      </c>
      <c r="AE26" s="14">
        <f t="shared" si="1"/>
        <v>40000</v>
      </c>
      <c r="AF26" s="59">
        <v>2500</v>
      </c>
      <c r="AG26" s="56">
        <v>2500</v>
      </c>
      <c r="AH26" s="56"/>
      <c r="AI26" s="56"/>
      <c r="AJ26" s="56"/>
      <c r="AK26" s="56"/>
      <c r="AL26" s="56"/>
      <c r="AM26" s="56"/>
      <c r="AN26" s="56"/>
      <c r="AO26" s="58"/>
      <c r="AP26" s="59">
        <f t="shared" si="2"/>
        <v>5000</v>
      </c>
      <c r="AQ26" s="56">
        <f t="shared" si="3"/>
        <v>45000</v>
      </c>
      <c r="AR26" s="58"/>
      <c r="AS26" s="60"/>
      <c r="AT26" s="61"/>
      <c r="AU26" s="61"/>
      <c r="AV26" s="56"/>
      <c r="AW26" s="56"/>
      <c r="AX26" s="56">
        <f t="shared" si="4"/>
        <v>152</v>
      </c>
      <c r="AY26" s="56">
        <f t="shared" si="5"/>
        <v>400</v>
      </c>
      <c r="AZ26" s="56">
        <f t="shared" si="6"/>
        <v>0</v>
      </c>
      <c r="BA26" s="56">
        <f t="shared" si="7"/>
        <v>552</v>
      </c>
      <c r="BB26" s="56">
        <f t="shared" si="8"/>
        <v>1680</v>
      </c>
      <c r="BC26" s="56">
        <f t="shared" si="9"/>
        <v>0</v>
      </c>
      <c r="BD26" s="56">
        <f t="shared" si="10"/>
        <v>0</v>
      </c>
      <c r="BE26" s="56">
        <f t="shared" si="11"/>
        <v>1680</v>
      </c>
      <c r="BF26" s="56">
        <f t="shared" si="12"/>
        <v>0</v>
      </c>
      <c r="BG26" s="56">
        <f t="shared" si="13"/>
        <v>0</v>
      </c>
      <c r="BH26" s="56">
        <f t="shared" si="14"/>
        <v>600</v>
      </c>
      <c r="BI26" s="56">
        <f t="shared" si="15"/>
        <v>400</v>
      </c>
      <c r="BJ26" s="56">
        <f t="shared" si="16"/>
        <v>1000</v>
      </c>
      <c r="BK26" s="56">
        <f t="shared" si="17"/>
        <v>1680</v>
      </c>
      <c r="BL26" s="56">
        <f t="shared" si="18"/>
        <v>2800.0000000000005</v>
      </c>
      <c r="BM26" s="56">
        <f t="shared" si="19"/>
        <v>700.00000000000011</v>
      </c>
      <c r="BN26" s="56">
        <f t="shared" si="20"/>
        <v>5180</v>
      </c>
      <c r="BO26" s="56">
        <f t="shared" si="21"/>
        <v>1552</v>
      </c>
      <c r="BP26" s="56">
        <f t="shared" si="22"/>
        <v>6860</v>
      </c>
      <c r="BQ26" s="56">
        <f t="shared" si="23"/>
        <v>8412</v>
      </c>
      <c r="BR26" s="56"/>
      <c r="BS26" s="56"/>
      <c r="BT26" s="62"/>
      <c r="BU26" s="63">
        <f t="shared" si="24"/>
        <v>32</v>
      </c>
      <c r="BV26" s="64" t="str">
        <f t="shared" si="24"/>
        <v>Mlle</v>
      </c>
      <c r="BW26" s="64" t="str">
        <f t="shared" si="24"/>
        <v>WAFFO OLGA FLORE</v>
      </c>
      <c r="BX26" s="65" t="str">
        <f t="shared" si="25"/>
        <v>CM1-B</v>
      </c>
      <c r="BY26" s="66">
        <f t="shared" si="26"/>
        <v>45383</v>
      </c>
      <c r="BZ26" s="66" t="str">
        <f t="shared" si="26"/>
        <v>31/04/2024</v>
      </c>
      <c r="CA26" s="67" t="str">
        <f t="shared" si="26"/>
        <v>#####</v>
      </c>
      <c r="CB26" s="68" t="str">
        <f t="shared" si="26"/>
        <v>#####</v>
      </c>
      <c r="CC26" s="69">
        <f t="shared" si="27"/>
        <v>40000</v>
      </c>
      <c r="CD26" s="70">
        <f t="shared" si="28"/>
        <v>5000</v>
      </c>
      <c r="CE26" s="71">
        <f t="shared" si="29"/>
        <v>1552</v>
      </c>
      <c r="CF26" s="67">
        <f t="shared" si="29"/>
        <v>6860</v>
      </c>
      <c r="CG26" s="67">
        <f t="shared" si="29"/>
        <v>8412</v>
      </c>
      <c r="CH26" s="67">
        <f t="shared" si="30"/>
        <v>45000</v>
      </c>
      <c r="CI26" s="72"/>
      <c r="CJ26" s="73"/>
      <c r="CK26" s="63">
        <f t="shared" si="31"/>
        <v>32</v>
      </c>
      <c r="CL26" s="64" t="str">
        <f t="shared" si="31"/>
        <v>Mlle</v>
      </c>
      <c r="CM26" s="64" t="str">
        <f t="shared" si="31"/>
        <v>WAFFO OLGA FLORE</v>
      </c>
      <c r="CN26" s="74" t="str">
        <f t="shared" si="31"/>
        <v>CM1-B</v>
      </c>
      <c r="CO26" s="69">
        <f t="shared" si="32"/>
        <v>0</v>
      </c>
      <c r="CP26" s="67">
        <f t="shared" si="32"/>
        <v>152</v>
      </c>
      <c r="CQ26" s="67">
        <f t="shared" si="32"/>
        <v>400</v>
      </c>
      <c r="CR26" s="67">
        <f t="shared" si="32"/>
        <v>0</v>
      </c>
      <c r="CS26" s="70">
        <f t="shared" si="32"/>
        <v>552</v>
      </c>
      <c r="CT26" s="71">
        <f t="shared" si="33"/>
        <v>0</v>
      </c>
      <c r="CU26" s="67">
        <f t="shared" si="33"/>
        <v>0</v>
      </c>
      <c r="CV26" s="67">
        <f t="shared" si="33"/>
        <v>600</v>
      </c>
      <c r="CW26" s="67">
        <f t="shared" si="33"/>
        <v>400</v>
      </c>
      <c r="CX26" s="68">
        <f t="shared" si="33"/>
        <v>1000</v>
      </c>
      <c r="CY26" s="75">
        <f t="shared" si="34"/>
        <v>1552</v>
      </c>
      <c r="CZ26" s="72"/>
      <c r="DA26" s="76"/>
      <c r="DB26" s="63">
        <f t="shared" si="35"/>
        <v>32</v>
      </c>
      <c r="DC26" s="64" t="str">
        <f t="shared" si="35"/>
        <v>Mlle</v>
      </c>
      <c r="DD26" s="64" t="str">
        <f t="shared" si="35"/>
        <v>WAFFO OLGA FLORE</v>
      </c>
      <c r="DE26" s="74" t="str">
        <f t="shared" si="35"/>
        <v>CM1-B</v>
      </c>
      <c r="DF26" s="77">
        <f t="shared" si="36"/>
        <v>552</v>
      </c>
      <c r="DG26" s="64">
        <f t="shared" si="36"/>
        <v>1680</v>
      </c>
      <c r="DH26" s="64">
        <f t="shared" si="36"/>
        <v>0</v>
      </c>
      <c r="DI26" s="64">
        <f t="shared" si="36"/>
        <v>0</v>
      </c>
      <c r="DJ26" s="78">
        <f t="shared" si="36"/>
        <v>1680</v>
      </c>
      <c r="DK26" s="79">
        <f t="shared" si="37"/>
        <v>1680</v>
      </c>
      <c r="DL26" s="80">
        <f t="shared" si="37"/>
        <v>2800.0000000000005</v>
      </c>
      <c r="DM26" s="80">
        <f t="shared" si="37"/>
        <v>700.00000000000011</v>
      </c>
      <c r="DN26" s="80">
        <f t="shared" si="37"/>
        <v>5180</v>
      </c>
      <c r="DO26" s="81">
        <f t="shared" si="38"/>
        <v>6860</v>
      </c>
      <c r="DP26" s="82"/>
      <c r="DQ26" s="82"/>
      <c r="DR26" s="83">
        <f t="shared" si="46"/>
        <v>32</v>
      </c>
      <c r="DS26" s="64" t="str">
        <f t="shared" si="46"/>
        <v>Mlle</v>
      </c>
      <c r="DT26" s="64" t="str">
        <f t="shared" si="46"/>
        <v>WAFFO OLGA FLORE</v>
      </c>
      <c r="DU26" s="84" t="str">
        <f t="shared" si="46"/>
        <v>CM1-B</v>
      </c>
      <c r="DV26" s="85">
        <f t="shared" si="46"/>
        <v>45383</v>
      </c>
      <c r="DW26" s="86" t="str">
        <f t="shared" si="46"/>
        <v>31/04/2024</v>
      </c>
      <c r="DX26" s="87" t="str">
        <f t="shared" si="40"/>
        <v>#####</v>
      </c>
      <c r="DY26" s="47" t="str">
        <f t="shared" si="44"/>
        <v>#####</v>
      </c>
      <c r="DZ26" s="50">
        <f t="shared" si="41"/>
        <v>45000</v>
      </c>
      <c r="EA26" s="88"/>
      <c r="EB26" s="50"/>
      <c r="EC26" s="50">
        <v>15000</v>
      </c>
      <c r="ED26" s="50">
        <v>3000</v>
      </c>
      <c r="EE26" s="50"/>
      <c r="EF26" s="50"/>
      <c r="EG26" s="64">
        <f t="shared" si="42"/>
        <v>27000</v>
      </c>
      <c r="EH26" s="51" t="str">
        <f t="shared" si="43"/>
        <v>WAFFO OLGA FLORE</v>
      </c>
    </row>
    <row r="27" spans="1:138" ht="16.95" customHeight="1">
      <c r="A27" s="1">
        <v>33</v>
      </c>
      <c r="B27" s="2" t="s">
        <v>149</v>
      </c>
      <c r="C27" s="1" t="s">
        <v>150</v>
      </c>
      <c r="D27" s="1"/>
      <c r="E27" s="1" t="s">
        <v>151</v>
      </c>
      <c r="F27" s="1"/>
      <c r="G27" s="1" t="s">
        <v>152</v>
      </c>
      <c r="H27" s="1" t="s">
        <v>153</v>
      </c>
      <c r="I27" s="3">
        <v>32191</v>
      </c>
      <c r="J27" s="3">
        <v>44837</v>
      </c>
      <c r="K27" s="3"/>
      <c r="L27" s="3">
        <v>54106</v>
      </c>
      <c r="M27" s="3" t="s">
        <v>154</v>
      </c>
      <c r="N27" s="3" t="s">
        <v>155</v>
      </c>
      <c r="O27" s="4">
        <v>694283828</v>
      </c>
      <c r="P27" s="4">
        <v>680710928</v>
      </c>
      <c r="Q27" s="3" t="s">
        <v>17</v>
      </c>
      <c r="R27" s="5"/>
      <c r="S27" s="6" t="s">
        <v>8</v>
      </c>
      <c r="T27" s="7" t="s">
        <v>156</v>
      </c>
      <c r="U27" s="8">
        <f t="shared" si="45"/>
        <v>45383</v>
      </c>
      <c r="V27" s="8" t="str">
        <f t="shared" si="45"/>
        <v>31/04/2024</v>
      </c>
      <c r="W27" s="5" t="str">
        <f t="shared" si="45"/>
        <v>#####</v>
      </c>
      <c r="X27" s="5" t="str">
        <f t="shared" si="45"/>
        <v>#####</v>
      </c>
      <c r="Y27" s="9"/>
      <c r="Z27" s="10"/>
      <c r="AA27" s="11">
        <v>1.1573187414500683</v>
      </c>
      <c r="AB27" s="12"/>
      <c r="AC27" s="12">
        <v>46001.367989056089</v>
      </c>
      <c r="AD27" s="13">
        <v>998.63201094391241</v>
      </c>
      <c r="AE27" s="14">
        <f t="shared" si="1"/>
        <v>47000</v>
      </c>
      <c r="AF27" s="15">
        <v>2500</v>
      </c>
      <c r="AG27" s="10">
        <v>2500</v>
      </c>
      <c r="AH27" s="16"/>
      <c r="AI27" s="12"/>
      <c r="AJ27" s="12"/>
      <c r="AK27" s="12"/>
      <c r="AL27" s="12"/>
      <c r="AM27" s="12"/>
      <c r="AN27" s="12"/>
      <c r="AO27" s="13"/>
      <c r="AP27" s="15">
        <f t="shared" si="2"/>
        <v>5000</v>
      </c>
      <c r="AQ27" s="10">
        <f t="shared" si="3"/>
        <v>52000</v>
      </c>
      <c r="AR27" s="13"/>
      <c r="AS27" s="17"/>
      <c r="AT27" s="10"/>
      <c r="AU27" s="10"/>
      <c r="AV27" s="12"/>
      <c r="AW27" s="12"/>
      <c r="AX27" s="12">
        <f t="shared" si="4"/>
        <v>178.6</v>
      </c>
      <c r="AY27" s="12">
        <f t="shared" si="5"/>
        <v>470</v>
      </c>
      <c r="AZ27" s="12">
        <f t="shared" si="6"/>
        <v>0</v>
      </c>
      <c r="BA27" s="12">
        <f t="shared" si="7"/>
        <v>648.6</v>
      </c>
      <c r="BB27" s="12">
        <f t="shared" si="8"/>
        <v>1974.0000000000002</v>
      </c>
      <c r="BC27" s="12">
        <f t="shared" si="9"/>
        <v>0</v>
      </c>
      <c r="BD27" s="12">
        <f t="shared" si="10"/>
        <v>0</v>
      </c>
      <c r="BE27" s="12">
        <f t="shared" si="11"/>
        <v>1974.0000000000002</v>
      </c>
      <c r="BF27" s="12">
        <f t="shared" si="12"/>
        <v>0</v>
      </c>
      <c r="BG27" s="12">
        <f t="shared" si="13"/>
        <v>0</v>
      </c>
      <c r="BH27" s="12">
        <f t="shared" si="14"/>
        <v>705</v>
      </c>
      <c r="BI27" s="12">
        <f t="shared" si="15"/>
        <v>470</v>
      </c>
      <c r="BJ27" s="12">
        <f t="shared" si="16"/>
        <v>1175</v>
      </c>
      <c r="BK27" s="12">
        <f t="shared" si="17"/>
        <v>1974.0000000000002</v>
      </c>
      <c r="BL27" s="12">
        <f t="shared" si="18"/>
        <v>3290.0000000000005</v>
      </c>
      <c r="BM27" s="12">
        <f t="shared" si="19"/>
        <v>822.50000000000011</v>
      </c>
      <c r="BN27" s="12">
        <f t="shared" si="20"/>
        <v>6086.5000000000009</v>
      </c>
      <c r="BO27" s="12">
        <f t="shared" si="21"/>
        <v>1823.6</v>
      </c>
      <c r="BP27" s="10">
        <f t="shared" si="22"/>
        <v>8060.5000000000009</v>
      </c>
      <c r="BQ27" s="10">
        <f t="shared" si="23"/>
        <v>9884.1</v>
      </c>
      <c r="BR27" s="12"/>
      <c r="BS27" s="12"/>
      <c r="BT27" s="18"/>
      <c r="BU27" s="19">
        <f t="shared" si="24"/>
        <v>33</v>
      </c>
      <c r="BV27" s="20" t="str">
        <f t="shared" si="24"/>
        <v>Mme</v>
      </c>
      <c r="BW27" s="20" t="str">
        <f t="shared" si="24"/>
        <v>YAKA ELOBE MICHAEL</v>
      </c>
      <c r="BX27" s="21" t="str">
        <f t="shared" si="25"/>
        <v>CM-2B</v>
      </c>
      <c r="BY27" s="22">
        <f t="shared" si="26"/>
        <v>45383</v>
      </c>
      <c r="BZ27" s="22" t="str">
        <f t="shared" si="26"/>
        <v>31/04/2024</v>
      </c>
      <c r="CA27" s="23" t="str">
        <f t="shared" si="26"/>
        <v>#####</v>
      </c>
      <c r="CB27" s="24" t="str">
        <f t="shared" si="26"/>
        <v>#####</v>
      </c>
      <c r="CC27" s="25">
        <f t="shared" si="27"/>
        <v>47000</v>
      </c>
      <c r="CD27" s="26">
        <f t="shared" si="28"/>
        <v>5000</v>
      </c>
      <c r="CE27" s="27">
        <f t="shared" si="29"/>
        <v>1823.6</v>
      </c>
      <c r="CF27" s="28">
        <f t="shared" si="29"/>
        <v>8060.5000000000009</v>
      </c>
      <c r="CG27" s="28">
        <f t="shared" si="29"/>
        <v>9884.1</v>
      </c>
      <c r="CH27" s="23">
        <f t="shared" si="30"/>
        <v>52000</v>
      </c>
      <c r="CI27" s="29"/>
      <c r="CJ27" s="30"/>
      <c r="CK27" s="19">
        <f t="shared" si="31"/>
        <v>33</v>
      </c>
      <c r="CL27" s="20" t="str">
        <f t="shared" si="31"/>
        <v>Mme</v>
      </c>
      <c r="CM27" s="20" t="str">
        <f t="shared" si="31"/>
        <v>YAKA ELOBE MICHAEL</v>
      </c>
      <c r="CN27" s="31" t="str">
        <f t="shared" si="31"/>
        <v>CM-2B</v>
      </c>
      <c r="CO27" s="25">
        <f t="shared" si="32"/>
        <v>0</v>
      </c>
      <c r="CP27" s="23">
        <f t="shared" si="32"/>
        <v>178.6</v>
      </c>
      <c r="CQ27" s="23">
        <f t="shared" si="32"/>
        <v>470</v>
      </c>
      <c r="CR27" s="23">
        <f t="shared" si="32"/>
        <v>0</v>
      </c>
      <c r="CS27" s="32">
        <f t="shared" si="32"/>
        <v>648.6</v>
      </c>
      <c r="CT27" s="33">
        <f t="shared" si="33"/>
        <v>0</v>
      </c>
      <c r="CU27" s="23">
        <f t="shared" si="33"/>
        <v>0</v>
      </c>
      <c r="CV27" s="23">
        <f t="shared" si="33"/>
        <v>705</v>
      </c>
      <c r="CW27" s="23">
        <f t="shared" si="33"/>
        <v>470</v>
      </c>
      <c r="CX27" s="24">
        <f t="shared" si="33"/>
        <v>1175</v>
      </c>
      <c r="CY27" s="34">
        <f t="shared" si="34"/>
        <v>1823.6</v>
      </c>
      <c r="CZ27" s="29"/>
      <c r="DA27" s="35"/>
      <c r="DB27" s="19">
        <f t="shared" si="35"/>
        <v>33</v>
      </c>
      <c r="DC27" s="20" t="str">
        <f t="shared" si="35"/>
        <v>Mme</v>
      </c>
      <c r="DD27" s="20" t="str">
        <f t="shared" si="35"/>
        <v>YAKA ELOBE MICHAEL</v>
      </c>
      <c r="DE27" s="31" t="str">
        <f t="shared" si="35"/>
        <v>CM-2B</v>
      </c>
      <c r="DF27" s="36">
        <f t="shared" si="36"/>
        <v>648.6</v>
      </c>
      <c r="DG27" s="20">
        <f t="shared" si="36"/>
        <v>1974.0000000000002</v>
      </c>
      <c r="DH27" s="20">
        <f t="shared" si="36"/>
        <v>0</v>
      </c>
      <c r="DI27" s="20">
        <f t="shared" si="36"/>
        <v>0</v>
      </c>
      <c r="DJ27" s="37">
        <f t="shared" si="36"/>
        <v>1974.0000000000002</v>
      </c>
      <c r="DK27" s="38">
        <f t="shared" si="37"/>
        <v>1974.0000000000002</v>
      </c>
      <c r="DL27" s="39">
        <f t="shared" si="37"/>
        <v>3290.0000000000005</v>
      </c>
      <c r="DM27" s="40">
        <f t="shared" si="37"/>
        <v>822.50000000000011</v>
      </c>
      <c r="DN27" s="39">
        <f t="shared" si="37"/>
        <v>6086.5000000000009</v>
      </c>
      <c r="DO27" s="41">
        <f t="shared" si="38"/>
        <v>8060.5000000000009</v>
      </c>
      <c r="DP27" s="42"/>
      <c r="DQ27" s="42"/>
      <c r="DR27" s="43">
        <f t="shared" si="46"/>
        <v>33</v>
      </c>
      <c r="DS27" s="20" t="str">
        <f t="shared" si="46"/>
        <v>Mme</v>
      </c>
      <c r="DT27" s="20" t="str">
        <f t="shared" si="46"/>
        <v>YAKA ELOBE MICHAEL</v>
      </c>
      <c r="DU27" s="44" t="str">
        <f t="shared" si="46"/>
        <v>CM-2B</v>
      </c>
      <c r="DV27" s="45">
        <f t="shared" si="46"/>
        <v>45383</v>
      </c>
      <c r="DW27" s="46" t="str">
        <f t="shared" si="46"/>
        <v>31/04/2024</v>
      </c>
      <c r="DX27" s="87" t="str">
        <f t="shared" si="40"/>
        <v>#####</v>
      </c>
      <c r="DY27" s="47" t="str">
        <f t="shared" si="44"/>
        <v>#####</v>
      </c>
      <c r="DZ27" s="48">
        <f t="shared" si="41"/>
        <v>52000</v>
      </c>
      <c r="EA27" s="49"/>
      <c r="EB27" s="48"/>
      <c r="EC27" s="48">
        <v>15000</v>
      </c>
      <c r="ED27" s="48">
        <v>3000</v>
      </c>
      <c r="EE27" s="50"/>
      <c r="EF27" s="48"/>
      <c r="EG27" s="20">
        <f t="shared" si="42"/>
        <v>34000</v>
      </c>
      <c r="EH27" s="51" t="str">
        <f t="shared" si="43"/>
        <v>YAKA ELOBE MICHAEL</v>
      </c>
    </row>
    <row r="28" spans="1:138" ht="12.6" customHeight="1">
      <c r="A28" s="1">
        <v>34</v>
      </c>
      <c r="B28" s="2" t="s">
        <v>26</v>
      </c>
      <c r="C28" s="1" t="s">
        <v>157</v>
      </c>
      <c r="D28" s="1" t="s">
        <v>158</v>
      </c>
      <c r="E28" s="1" t="s">
        <v>159</v>
      </c>
      <c r="F28" s="1" t="s">
        <v>30</v>
      </c>
      <c r="G28" s="1" t="s">
        <v>160</v>
      </c>
      <c r="H28" s="1" t="s">
        <v>161</v>
      </c>
      <c r="I28" s="3">
        <v>33738</v>
      </c>
      <c r="J28" s="3">
        <v>43709</v>
      </c>
      <c r="K28" s="3"/>
      <c r="L28" s="3">
        <v>55653</v>
      </c>
      <c r="M28" s="3" t="s">
        <v>96</v>
      </c>
      <c r="N28" s="3" t="s">
        <v>162</v>
      </c>
      <c r="O28" s="4">
        <v>698503144</v>
      </c>
      <c r="P28" s="4">
        <v>678953248</v>
      </c>
      <c r="Q28" s="3" t="s">
        <v>17</v>
      </c>
      <c r="R28" s="52">
        <v>2</v>
      </c>
      <c r="S28" s="3" t="s">
        <v>115</v>
      </c>
      <c r="T28" s="53" t="s">
        <v>163</v>
      </c>
      <c r="U28" s="54">
        <f t="shared" si="45"/>
        <v>45383</v>
      </c>
      <c r="V28" s="54" t="str">
        <f t="shared" si="45"/>
        <v>31/04/2024</v>
      </c>
      <c r="W28" s="5" t="str">
        <f t="shared" si="45"/>
        <v>#####</v>
      </c>
      <c r="X28" s="5" t="str">
        <f t="shared" si="45"/>
        <v>#####</v>
      </c>
      <c r="Y28" s="55"/>
      <c r="Z28" s="56"/>
      <c r="AA28" s="57">
        <v>4.243502051983584</v>
      </c>
      <c r="AB28" s="56"/>
      <c r="AC28" s="56">
        <v>52915.184678522572</v>
      </c>
      <c r="AD28" s="58">
        <v>4084.8153214774284</v>
      </c>
      <c r="AE28" s="14">
        <f t="shared" si="1"/>
        <v>57000</v>
      </c>
      <c r="AF28" s="59">
        <v>2500</v>
      </c>
      <c r="AG28" s="56">
        <v>2500</v>
      </c>
      <c r="AH28" s="56"/>
      <c r="AI28" s="56"/>
      <c r="AJ28" s="56"/>
      <c r="AK28" s="56"/>
      <c r="AL28" s="56"/>
      <c r="AM28" s="56"/>
      <c r="AN28" s="56"/>
      <c r="AO28" s="58"/>
      <c r="AP28" s="59">
        <f t="shared" si="2"/>
        <v>5000</v>
      </c>
      <c r="AQ28" s="56">
        <f t="shared" si="3"/>
        <v>62000</v>
      </c>
      <c r="AR28" s="58"/>
      <c r="AS28" s="60"/>
      <c r="AT28" s="61"/>
      <c r="AU28" s="61"/>
      <c r="AV28" s="56"/>
      <c r="AW28" s="56"/>
      <c r="AX28" s="56">
        <f t="shared" si="4"/>
        <v>216.6</v>
      </c>
      <c r="AY28" s="56">
        <f t="shared" si="5"/>
        <v>570</v>
      </c>
      <c r="AZ28" s="56">
        <f t="shared" si="6"/>
        <v>0</v>
      </c>
      <c r="BA28" s="56">
        <f t="shared" si="7"/>
        <v>786.6</v>
      </c>
      <c r="BB28" s="56">
        <f t="shared" si="8"/>
        <v>2394</v>
      </c>
      <c r="BC28" s="56">
        <f t="shared" si="9"/>
        <v>0</v>
      </c>
      <c r="BD28" s="56">
        <f t="shared" si="10"/>
        <v>0</v>
      </c>
      <c r="BE28" s="56">
        <f t="shared" si="11"/>
        <v>2394</v>
      </c>
      <c r="BF28" s="56">
        <f t="shared" si="12"/>
        <v>0</v>
      </c>
      <c r="BG28" s="56">
        <f t="shared" si="13"/>
        <v>0</v>
      </c>
      <c r="BH28" s="56">
        <f t="shared" si="14"/>
        <v>855</v>
      </c>
      <c r="BI28" s="56">
        <f t="shared" si="15"/>
        <v>570</v>
      </c>
      <c r="BJ28" s="56">
        <f t="shared" si="16"/>
        <v>1425</v>
      </c>
      <c r="BK28" s="56">
        <f t="shared" si="17"/>
        <v>2394</v>
      </c>
      <c r="BL28" s="56">
        <f t="shared" si="18"/>
        <v>3990.0000000000005</v>
      </c>
      <c r="BM28" s="56">
        <f t="shared" si="19"/>
        <v>997.50000000000011</v>
      </c>
      <c r="BN28" s="56">
        <f t="shared" si="20"/>
        <v>7381.5</v>
      </c>
      <c r="BO28" s="56">
        <f t="shared" si="21"/>
        <v>2211.6</v>
      </c>
      <c r="BP28" s="56">
        <f t="shared" si="22"/>
        <v>9775.5</v>
      </c>
      <c r="BQ28" s="56">
        <f t="shared" si="23"/>
        <v>11987.1</v>
      </c>
      <c r="BR28" s="56"/>
      <c r="BS28" s="56"/>
      <c r="BT28" s="62"/>
      <c r="BU28" s="63">
        <f t="shared" si="24"/>
        <v>34</v>
      </c>
      <c r="BV28" s="64" t="str">
        <f t="shared" si="24"/>
        <v xml:space="preserve">Mr </v>
      </c>
      <c r="BW28" s="64" t="str">
        <f t="shared" si="24"/>
        <v>MPOLENGUE WYSTRIDE</v>
      </c>
      <c r="BX28" s="65" t="str">
        <f t="shared" si="25"/>
        <v>CM2-A</v>
      </c>
      <c r="BY28" s="66">
        <f t="shared" si="26"/>
        <v>45383</v>
      </c>
      <c r="BZ28" s="66" t="str">
        <f t="shared" si="26"/>
        <v>31/04/2024</v>
      </c>
      <c r="CA28" s="67" t="str">
        <f t="shared" si="26"/>
        <v>#####</v>
      </c>
      <c r="CB28" s="68" t="str">
        <f t="shared" si="26"/>
        <v>#####</v>
      </c>
      <c r="CC28" s="69">
        <f t="shared" si="27"/>
        <v>57000</v>
      </c>
      <c r="CD28" s="70">
        <f t="shared" si="28"/>
        <v>5000</v>
      </c>
      <c r="CE28" s="71">
        <f t="shared" si="29"/>
        <v>2211.6</v>
      </c>
      <c r="CF28" s="67">
        <f t="shared" si="29"/>
        <v>9775.5</v>
      </c>
      <c r="CG28" s="67">
        <f t="shared" si="29"/>
        <v>11987.1</v>
      </c>
      <c r="CH28" s="67">
        <f t="shared" si="30"/>
        <v>62000</v>
      </c>
      <c r="CI28" s="72"/>
      <c r="CJ28" s="73"/>
      <c r="CK28" s="63">
        <f t="shared" si="31"/>
        <v>34</v>
      </c>
      <c r="CL28" s="64" t="str">
        <f t="shared" si="31"/>
        <v xml:space="preserve">Mr </v>
      </c>
      <c r="CM28" s="64" t="str">
        <f t="shared" si="31"/>
        <v>MPOLENGUE WYSTRIDE</v>
      </c>
      <c r="CN28" s="74" t="str">
        <f t="shared" si="31"/>
        <v>CM2-A</v>
      </c>
      <c r="CO28" s="69">
        <f t="shared" si="32"/>
        <v>0</v>
      </c>
      <c r="CP28" s="67">
        <f t="shared" si="32"/>
        <v>216.6</v>
      </c>
      <c r="CQ28" s="67">
        <f t="shared" si="32"/>
        <v>570</v>
      </c>
      <c r="CR28" s="67">
        <f t="shared" si="32"/>
        <v>0</v>
      </c>
      <c r="CS28" s="70">
        <f t="shared" si="32"/>
        <v>786.6</v>
      </c>
      <c r="CT28" s="71">
        <f t="shared" si="33"/>
        <v>0</v>
      </c>
      <c r="CU28" s="67">
        <f t="shared" si="33"/>
        <v>0</v>
      </c>
      <c r="CV28" s="67">
        <f t="shared" si="33"/>
        <v>855</v>
      </c>
      <c r="CW28" s="67">
        <f t="shared" si="33"/>
        <v>570</v>
      </c>
      <c r="CX28" s="68">
        <f t="shared" si="33"/>
        <v>1425</v>
      </c>
      <c r="CY28" s="75">
        <f t="shared" si="34"/>
        <v>2211.6</v>
      </c>
      <c r="CZ28" s="72"/>
      <c r="DA28" s="76"/>
      <c r="DB28" s="63">
        <f t="shared" si="35"/>
        <v>34</v>
      </c>
      <c r="DC28" s="64" t="str">
        <f t="shared" si="35"/>
        <v xml:space="preserve">Mr </v>
      </c>
      <c r="DD28" s="64" t="str">
        <f t="shared" si="35"/>
        <v>MPOLENGUE WYSTRIDE</v>
      </c>
      <c r="DE28" s="74" t="str">
        <f t="shared" si="35"/>
        <v>CM2-A</v>
      </c>
      <c r="DF28" s="77">
        <f t="shared" si="36"/>
        <v>786.6</v>
      </c>
      <c r="DG28" s="64">
        <f t="shared" si="36"/>
        <v>2394</v>
      </c>
      <c r="DH28" s="64">
        <f t="shared" si="36"/>
        <v>0</v>
      </c>
      <c r="DI28" s="64">
        <f t="shared" si="36"/>
        <v>0</v>
      </c>
      <c r="DJ28" s="78">
        <f t="shared" si="36"/>
        <v>2394</v>
      </c>
      <c r="DK28" s="79">
        <f t="shared" si="37"/>
        <v>2394</v>
      </c>
      <c r="DL28" s="80">
        <f t="shared" si="37"/>
        <v>3990.0000000000005</v>
      </c>
      <c r="DM28" s="80">
        <f t="shared" si="37"/>
        <v>997.50000000000011</v>
      </c>
      <c r="DN28" s="80">
        <f t="shared" si="37"/>
        <v>7381.5</v>
      </c>
      <c r="DO28" s="81">
        <f t="shared" si="38"/>
        <v>9775.5</v>
      </c>
      <c r="DP28" s="82"/>
      <c r="DQ28" s="82"/>
      <c r="DR28" s="83">
        <f t="shared" si="46"/>
        <v>34</v>
      </c>
      <c r="DS28" s="64" t="str">
        <f t="shared" si="46"/>
        <v xml:space="preserve">Mr </v>
      </c>
      <c r="DT28" s="64" t="str">
        <f t="shared" si="46"/>
        <v>MPOLENGUE WYSTRIDE</v>
      </c>
      <c r="DU28" s="84" t="str">
        <f t="shared" si="46"/>
        <v>CM2-A</v>
      </c>
      <c r="DV28" s="85">
        <f t="shared" si="46"/>
        <v>45383</v>
      </c>
      <c r="DW28" s="86" t="str">
        <f t="shared" si="46"/>
        <v>31/04/2024</v>
      </c>
      <c r="DX28" s="87" t="str">
        <f t="shared" si="40"/>
        <v>#####</v>
      </c>
      <c r="DY28" s="47" t="str">
        <f t="shared" si="44"/>
        <v>#####</v>
      </c>
      <c r="DZ28" s="50">
        <f t="shared" si="41"/>
        <v>62000</v>
      </c>
      <c r="EA28" s="88"/>
      <c r="EB28" s="50"/>
      <c r="EC28" s="50">
        <v>15000</v>
      </c>
      <c r="ED28" s="50">
        <v>3000</v>
      </c>
      <c r="EE28" s="50"/>
      <c r="EF28" s="50"/>
      <c r="EG28" s="64">
        <f t="shared" si="42"/>
        <v>44000</v>
      </c>
      <c r="EH28" s="51" t="str">
        <f t="shared" si="43"/>
        <v>MPOLENGUE WYSTRIDE</v>
      </c>
    </row>
  </sheetData>
  <mergeCells count="10">
    <mergeCell ref="EB2:EG2"/>
    <mergeCell ref="CT1:CY1"/>
    <mergeCell ref="DK1:DO1"/>
    <mergeCell ref="AW2:BE2"/>
    <mergeCell ref="BF2:BN2"/>
    <mergeCell ref="CD2:CH2"/>
    <mergeCell ref="CO2:CS2"/>
    <mergeCell ref="CT2:CX2"/>
    <mergeCell ref="DF2:DJ2"/>
    <mergeCell ref="DK2:DN2"/>
  </mergeCells>
  <conditionalFormatting sqref="F5:F9 F11:F18 F20:F22 F25:F26 F28">
    <cfRule type="duplicateValues" dxfId="11" priority="6"/>
  </conditionalFormatting>
  <conditionalFormatting sqref="F10">
    <cfRule type="duplicateValues" dxfId="9" priority="5"/>
  </conditionalFormatting>
  <conditionalFormatting sqref="F19">
    <cfRule type="duplicateValues" dxfId="7" priority="4"/>
  </conditionalFormatting>
  <conditionalFormatting sqref="F23">
    <cfRule type="duplicateValues" dxfId="5" priority="3"/>
  </conditionalFormatting>
  <conditionalFormatting sqref="F24">
    <cfRule type="duplicateValues" dxfId="3" priority="2"/>
  </conditionalFormatting>
  <conditionalFormatting sqref="F27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TCHIOFFOUO</dc:creator>
  <cp:lastModifiedBy>SAMUEL TCHIOFFOUO</cp:lastModifiedBy>
  <dcterms:created xsi:type="dcterms:W3CDTF">2026-08-16T10:36:48Z</dcterms:created>
  <dcterms:modified xsi:type="dcterms:W3CDTF">2026-08-16T10:37:54Z</dcterms:modified>
</cp:coreProperties>
</file>