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116" windowHeight="9288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CO15" i="1" l="1"/>
  <c r="BX15" i="1"/>
  <c r="CN15" i="1" s="1"/>
  <c r="DE15" i="1" s="1"/>
  <c r="BW15" i="1"/>
  <c r="CM15" i="1" s="1"/>
  <c r="DD15" i="1" s="1"/>
  <c r="BV15" i="1"/>
  <c r="CL15" i="1" s="1"/>
  <c r="DC15" i="1" s="1"/>
  <c r="BU15" i="1"/>
  <c r="CK15" i="1" s="1"/>
  <c r="DB15" i="1" s="1"/>
  <c r="AP15" i="1"/>
  <c r="CD15" i="1" s="1"/>
  <c r="AE15" i="1"/>
  <c r="BK15" i="1" s="1"/>
  <c r="BN4" i="1"/>
  <c r="BJ4" i="1"/>
  <c r="BE4" i="1"/>
  <c r="BA4" i="1"/>
  <c r="DU3" i="1"/>
  <c r="DT3" i="1"/>
  <c r="DS3" i="1"/>
  <c r="DR3" i="1"/>
  <c r="DO3" i="1"/>
  <c r="DN3" i="1"/>
  <c r="DM3" i="1"/>
  <c r="DL3" i="1"/>
  <c r="DK3" i="1"/>
  <c r="DJ3" i="1"/>
  <c r="DI3" i="1"/>
  <c r="DH3" i="1"/>
  <c r="DG3" i="1"/>
  <c r="DF3" i="1"/>
  <c r="CY3" i="1"/>
  <c r="CX3" i="1"/>
  <c r="CW3" i="1"/>
  <c r="CV3" i="1"/>
  <c r="CU3" i="1"/>
  <c r="CT3" i="1"/>
  <c r="CS3" i="1"/>
  <c r="CR3" i="1"/>
  <c r="CQ3" i="1"/>
  <c r="CP3" i="1"/>
  <c r="CO3" i="1"/>
  <c r="CN3" i="1"/>
  <c r="DE3" i="1" s="1"/>
  <c r="CM3" i="1"/>
  <c r="DD3" i="1" s="1"/>
  <c r="CL3" i="1"/>
  <c r="DC3" i="1" s="1"/>
  <c r="CK3" i="1"/>
  <c r="DB3" i="1" s="1"/>
  <c r="CH3" i="1"/>
  <c r="CG3" i="1"/>
  <c r="CF3" i="1"/>
  <c r="CE3" i="1"/>
  <c r="CD3" i="1"/>
  <c r="CC3" i="1"/>
  <c r="CB3" i="1"/>
  <c r="DY3" i="1" s="1"/>
  <c r="CA3" i="1"/>
  <c r="DX3" i="1" s="1"/>
  <c r="BZ3" i="1"/>
  <c r="DW3" i="1" s="1"/>
  <c r="BY3" i="1"/>
  <c r="DV3" i="1" s="1"/>
  <c r="EB2" i="1"/>
  <c r="CD2" i="1"/>
  <c r="AD2" i="1"/>
  <c r="DK1" i="1"/>
  <c r="CT1" i="1"/>
  <c r="U6" i="1"/>
  <c r="BY6" i="1" s="1"/>
  <c r="DV6" i="1" s="1"/>
  <c r="V6" i="1"/>
  <c r="BZ6" i="1" s="1"/>
  <c r="DW6" i="1" s="1"/>
  <c r="W6" i="1"/>
  <c r="W7" i="1" s="1"/>
  <c r="W8" i="1" s="1"/>
  <c r="CA8" i="1" s="1"/>
  <c r="X6" i="1"/>
  <c r="X7" i="1" s="1"/>
  <c r="AE6" i="1"/>
  <c r="AP6" i="1"/>
  <c r="CD6" i="1" s="1"/>
  <c r="BU6" i="1"/>
  <c r="CK6" i="1" s="1"/>
  <c r="DB6" i="1" s="1"/>
  <c r="BV6" i="1"/>
  <c r="DS6" i="1" s="1"/>
  <c r="BW6" i="1"/>
  <c r="CM6" i="1" s="1"/>
  <c r="DD6" i="1" s="1"/>
  <c r="BX6" i="1"/>
  <c r="CO6" i="1"/>
  <c r="AE7" i="1"/>
  <c r="AP7" i="1"/>
  <c r="CD7" i="1" s="1"/>
  <c r="BU7" i="1"/>
  <c r="DR7" i="1" s="1"/>
  <c r="BV7" i="1"/>
  <c r="BW7" i="1"/>
  <c r="BX7" i="1"/>
  <c r="CN7" i="1" s="1"/>
  <c r="DE7" i="1" s="1"/>
  <c r="CO7" i="1"/>
  <c r="AE8" i="1"/>
  <c r="AP8" i="1"/>
  <c r="CD8" i="1" s="1"/>
  <c r="BU8" i="1"/>
  <c r="BV8" i="1"/>
  <c r="BW8" i="1"/>
  <c r="DT8" i="1" s="1"/>
  <c r="EH8" i="1" s="1"/>
  <c r="BX8" i="1"/>
  <c r="DU8" i="1" s="1"/>
  <c r="CO8" i="1"/>
  <c r="CO14" i="1"/>
  <c r="BX14" i="1"/>
  <c r="CN14" i="1" s="1"/>
  <c r="DE14" i="1" s="1"/>
  <c r="BW14" i="1"/>
  <c r="CM14" i="1" s="1"/>
  <c r="DD14" i="1" s="1"/>
  <c r="BV14" i="1"/>
  <c r="DS14" i="1" s="1"/>
  <c r="BU14" i="1"/>
  <c r="DR14" i="1" s="1"/>
  <c r="AP14" i="1"/>
  <c r="CD14" i="1" s="1"/>
  <c r="AE14" i="1"/>
  <c r="CC14" i="1" s="1"/>
  <c r="CO13" i="1"/>
  <c r="BX13" i="1"/>
  <c r="CN13" i="1" s="1"/>
  <c r="DE13" i="1" s="1"/>
  <c r="BW13" i="1"/>
  <c r="DT13" i="1" s="1"/>
  <c r="EH13" i="1" s="1"/>
  <c r="BV13" i="1"/>
  <c r="CL13" i="1" s="1"/>
  <c r="DC13" i="1" s="1"/>
  <c r="BU13" i="1"/>
  <c r="DR13" i="1" s="1"/>
  <c r="AP13" i="1"/>
  <c r="CD13" i="1" s="1"/>
  <c r="AE13" i="1"/>
  <c r="CO12" i="1"/>
  <c r="BX12" i="1"/>
  <c r="DU12" i="1" s="1"/>
  <c r="BW12" i="1"/>
  <c r="DT12" i="1" s="1"/>
  <c r="EH12" i="1" s="1"/>
  <c r="BV12" i="1"/>
  <c r="DS12" i="1" s="1"/>
  <c r="BU12" i="1"/>
  <c r="AP12" i="1"/>
  <c r="AE12" i="1"/>
  <c r="CC12" i="1" s="1"/>
  <c r="CO11" i="1"/>
  <c r="BX11" i="1"/>
  <c r="DU11" i="1" s="1"/>
  <c r="BW11" i="1"/>
  <c r="BV11" i="1"/>
  <c r="BU11" i="1"/>
  <c r="DR11" i="1" s="1"/>
  <c r="AP11" i="1"/>
  <c r="CD11" i="1" s="1"/>
  <c r="AE11" i="1"/>
  <c r="CC11" i="1" s="1"/>
  <c r="CO10" i="1"/>
  <c r="BX10" i="1"/>
  <c r="DU10" i="1" s="1"/>
  <c r="BW10" i="1"/>
  <c r="BV10" i="1"/>
  <c r="DS10" i="1" s="1"/>
  <c r="BU10" i="1"/>
  <c r="CK10" i="1" s="1"/>
  <c r="DB10" i="1" s="1"/>
  <c r="AP10" i="1"/>
  <c r="AE10" i="1"/>
  <c r="CO9" i="1"/>
  <c r="BX9" i="1"/>
  <c r="BW9" i="1"/>
  <c r="DT9" i="1" s="1"/>
  <c r="EH9" i="1" s="1"/>
  <c r="BV9" i="1"/>
  <c r="DS9" i="1" s="1"/>
  <c r="BU9" i="1"/>
  <c r="CK9" i="1" s="1"/>
  <c r="DB9" i="1" s="1"/>
  <c r="AP9" i="1"/>
  <c r="CD9" i="1" s="1"/>
  <c r="AE9" i="1"/>
  <c r="CC9" i="1" s="1"/>
  <c r="AX15" i="1" l="1"/>
  <c r="CP15" i="1" s="1"/>
  <c r="BD15" i="1"/>
  <c r="DI15" i="1" s="1"/>
  <c r="BF15" i="1"/>
  <c r="BL15" i="1"/>
  <c r="DL15" i="1" s="1"/>
  <c r="DR15" i="1"/>
  <c r="BO4" i="1"/>
  <c r="BQ4" i="1" s="1"/>
  <c r="BM15" i="1"/>
  <c r="DM15" i="1" s="1"/>
  <c r="DS15" i="1"/>
  <c r="DK15" i="1"/>
  <c r="AY15" i="1"/>
  <c r="CQ15" i="1" s="1"/>
  <c r="BG15" i="1"/>
  <c r="CU15" i="1" s="1"/>
  <c r="DT15" i="1"/>
  <c r="EH15" i="1" s="1"/>
  <c r="U7" i="1"/>
  <c r="BY7" i="1" s="1"/>
  <c r="DV7" i="1" s="1"/>
  <c r="AZ15" i="1"/>
  <c r="CR15" i="1" s="1"/>
  <c r="BH15" i="1"/>
  <c r="CV15" i="1" s="1"/>
  <c r="DU15" i="1"/>
  <c r="AQ15" i="1"/>
  <c r="BI15" i="1"/>
  <c r="CW15" i="1" s="1"/>
  <c r="CT15" i="1"/>
  <c r="BB15" i="1"/>
  <c r="CC15" i="1"/>
  <c r="BC15" i="1"/>
  <c r="DH15" i="1" s="1"/>
  <c r="BP4" i="1"/>
  <c r="CB7" i="1"/>
  <c r="DY7" i="1" s="1"/>
  <c r="X8" i="1"/>
  <c r="CB8" i="1" s="1"/>
  <c r="CB6" i="1"/>
  <c r="DY6" i="1" s="1"/>
  <c r="V7" i="1"/>
  <c r="V8" i="1" s="1"/>
  <c r="BZ8" i="1" s="1"/>
  <c r="DW8" i="1" s="1"/>
  <c r="CM8" i="1"/>
  <c r="DD8" i="1" s="1"/>
  <c r="AQ12" i="1"/>
  <c r="DZ12" i="1" s="1"/>
  <c r="EG12" i="1" s="1"/>
  <c r="U8" i="1"/>
  <c r="BY8" i="1" s="1"/>
  <c r="DV8" i="1" s="1"/>
  <c r="DR6" i="1"/>
  <c r="CA7" i="1"/>
  <c r="DX7" i="1"/>
  <c r="DU7" i="1"/>
  <c r="CK11" i="1"/>
  <c r="DB11" i="1" s="1"/>
  <c r="DR10" i="1"/>
  <c r="CL6" i="1"/>
  <c r="DC6" i="1" s="1"/>
  <c r="CN8" i="1"/>
  <c r="DE8" i="1" s="1"/>
  <c r="CK7" i="1"/>
  <c r="DB7" i="1" s="1"/>
  <c r="DS8" i="1"/>
  <c r="CL8" i="1"/>
  <c r="DC8" i="1" s="1"/>
  <c r="CL7" i="1"/>
  <c r="DC7" i="1" s="1"/>
  <c r="DS7" i="1"/>
  <c r="AQ8" i="1"/>
  <c r="AQ7" i="1"/>
  <c r="CN6" i="1"/>
  <c r="DE6" i="1" s="1"/>
  <c r="DU6" i="1"/>
  <c r="CM7" i="1"/>
  <c r="DD7" i="1" s="1"/>
  <c r="DT7" i="1"/>
  <c r="EH7" i="1" s="1"/>
  <c r="DT11" i="1"/>
  <c r="EH11" i="1" s="1"/>
  <c r="CM11" i="1"/>
  <c r="DD11" i="1" s="1"/>
  <c r="CK8" i="1"/>
  <c r="DB8" i="1" s="1"/>
  <c r="DR8" i="1"/>
  <c r="DX8" i="1"/>
  <c r="CC7" i="1"/>
  <c r="CC8" i="1"/>
  <c r="CA6" i="1"/>
  <c r="DT6" i="1"/>
  <c r="EH6" i="1" s="1"/>
  <c r="AQ6" i="1"/>
  <c r="DX6" i="1"/>
  <c r="CC6" i="1"/>
  <c r="CN12" i="1"/>
  <c r="DE12" i="1" s="1"/>
  <c r="CK13" i="1"/>
  <c r="DB13" i="1" s="1"/>
  <c r="CK14" i="1"/>
  <c r="DB14" i="1" s="1"/>
  <c r="CM12" i="1"/>
  <c r="DD12" i="1" s="1"/>
  <c r="CL9" i="1"/>
  <c r="DC9" i="1" s="1"/>
  <c r="DS13" i="1"/>
  <c r="DT14" i="1"/>
  <c r="EH14" i="1" s="1"/>
  <c r="CN11" i="1"/>
  <c r="DE11" i="1" s="1"/>
  <c r="DU13" i="1"/>
  <c r="DU14" i="1"/>
  <c r="AQ9" i="1"/>
  <c r="CH9" i="1" s="1"/>
  <c r="DR9" i="1"/>
  <c r="CL10" i="1"/>
  <c r="DC10" i="1" s="1"/>
  <c r="CL14" i="1"/>
  <c r="DC14" i="1" s="1"/>
  <c r="CN10" i="1"/>
  <c r="DE10" i="1" s="1"/>
  <c r="CM13" i="1"/>
  <c r="DD13" i="1" s="1"/>
  <c r="AQ14" i="1"/>
  <c r="CH14" i="1" s="1"/>
  <c r="CL12" i="1"/>
  <c r="DC12" i="1" s="1"/>
  <c r="AQ10" i="1"/>
  <c r="CK12" i="1"/>
  <c r="DB12" i="1" s="1"/>
  <c r="DR12" i="1"/>
  <c r="CC10" i="1"/>
  <c r="CM10" i="1"/>
  <c r="DD10" i="1" s="1"/>
  <c r="DT10" i="1"/>
  <c r="EH10" i="1" s="1"/>
  <c r="AQ11" i="1"/>
  <c r="CL11" i="1"/>
  <c r="DC11" i="1" s="1"/>
  <c r="DS11" i="1"/>
  <c r="CD10" i="1"/>
  <c r="CM9" i="1"/>
  <c r="DD9" i="1" s="1"/>
  <c r="CN9" i="1"/>
  <c r="DE9" i="1" s="1"/>
  <c r="DU9" i="1"/>
  <c r="CD12" i="1"/>
  <c r="CC13" i="1"/>
  <c r="AQ13" i="1"/>
  <c r="BZ7" i="1" l="1"/>
  <c r="DW7" i="1" s="1"/>
  <c r="BN15" i="1"/>
  <c r="BE15" i="1"/>
  <c r="DJ15" i="1" s="1"/>
  <c r="DG15" i="1"/>
  <c r="DN15" i="1"/>
  <c r="DZ15" i="1"/>
  <c r="EG15" i="1" s="1"/>
  <c r="CH15" i="1"/>
  <c r="BA15" i="1"/>
  <c r="BJ15" i="1"/>
  <c r="CH12" i="1"/>
  <c r="DZ7" i="1"/>
  <c r="EG7" i="1" s="1"/>
  <c r="CH7" i="1"/>
  <c r="CH6" i="1"/>
  <c r="DZ6" i="1"/>
  <c r="EG6" i="1" s="1"/>
  <c r="DZ8" i="1"/>
  <c r="EG8" i="1" s="1"/>
  <c r="CH8" i="1"/>
  <c r="DZ14" i="1"/>
  <c r="EG14" i="1" s="1"/>
  <c r="DZ9" i="1"/>
  <c r="EG9" i="1" s="1"/>
  <c r="CH11" i="1"/>
  <c r="DZ11" i="1"/>
  <c r="EG11" i="1" s="1"/>
  <c r="U9" i="1"/>
  <c r="X9" i="1"/>
  <c r="CH13" i="1"/>
  <c r="DZ13" i="1"/>
  <c r="EG13" i="1" s="1"/>
  <c r="V9" i="1"/>
  <c r="CH10" i="1"/>
  <c r="DZ10" i="1"/>
  <c r="EG10" i="1" s="1"/>
  <c r="BP15" i="1" l="1"/>
  <c r="CF15" i="1" s="1"/>
  <c r="BO15" i="1"/>
  <c r="CX15" i="1"/>
  <c r="DF15" i="1"/>
  <c r="CS15" i="1"/>
  <c r="W9" i="1"/>
  <c r="U10" i="1"/>
  <c r="BY9" i="1"/>
  <c r="DV9" i="1" s="1"/>
  <c r="V10" i="1"/>
  <c r="BZ9" i="1"/>
  <c r="DW9" i="1" s="1"/>
  <c r="X10" i="1"/>
  <c r="CB9" i="1"/>
  <c r="DY9" i="1" s="1"/>
  <c r="DO15" i="1" l="1"/>
  <c r="BQ15" i="1"/>
  <c r="CG15" i="1" s="1"/>
  <c r="CE15" i="1"/>
  <c r="CY15" i="1"/>
  <c r="X11" i="1"/>
  <c r="CB10" i="1"/>
  <c r="DY10" i="1" s="1"/>
  <c r="BZ10" i="1"/>
  <c r="DW10" i="1" s="1"/>
  <c r="V11" i="1"/>
  <c r="U11" i="1"/>
  <c r="BY10" i="1"/>
  <c r="DV10" i="1" s="1"/>
  <c r="DX9" i="1"/>
  <c r="CA9" i="1"/>
  <c r="W10" i="1"/>
  <c r="W11" i="1" l="1"/>
  <c r="CA10" i="1"/>
  <c r="DX10" i="1"/>
  <c r="CB11" i="1"/>
  <c r="DY11" i="1" s="1"/>
  <c r="X12" i="1"/>
  <c r="BY11" i="1"/>
  <c r="DV11" i="1" s="1"/>
  <c r="U12" i="1"/>
  <c r="V12" i="1"/>
  <c r="BZ11" i="1"/>
  <c r="DW11" i="1" s="1"/>
  <c r="V13" i="1" l="1"/>
  <c r="BZ12" i="1"/>
  <c r="DW12" i="1" s="1"/>
  <c r="U13" i="1"/>
  <c r="BY12" i="1"/>
  <c r="DV12" i="1" s="1"/>
  <c r="W12" i="1"/>
  <c r="DX11" i="1"/>
  <c r="CA11" i="1"/>
  <c r="CB12" i="1"/>
  <c r="DY12" i="1" s="1"/>
  <c r="X13" i="1"/>
  <c r="BZ13" i="1" l="1"/>
  <c r="DW13" i="1" s="1"/>
  <c r="V14" i="1"/>
  <c r="CA12" i="1"/>
  <c r="DX12" i="1"/>
  <c r="W13" i="1"/>
  <c r="U14" i="1"/>
  <c r="BY13" i="1"/>
  <c r="DV13" i="1" s="1"/>
  <c r="X14" i="1"/>
  <c r="CB13" i="1"/>
  <c r="DY13" i="1" s="1"/>
  <c r="CB14" i="1" l="1"/>
  <c r="DY14" i="1" s="1"/>
  <c r="X15" i="1"/>
  <c r="CB15" i="1" s="1"/>
  <c r="DY15" i="1" s="1"/>
  <c r="BY14" i="1"/>
  <c r="DV14" i="1" s="1"/>
  <c r="U15" i="1"/>
  <c r="BY15" i="1" s="1"/>
  <c r="DV15" i="1" s="1"/>
  <c r="BZ14" i="1"/>
  <c r="DW14" i="1" s="1"/>
  <c r="V15" i="1"/>
  <c r="BZ15" i="1" s="1"/>
  <c r="DW15" i="1" s="1"/>
  <c r="CA13" i="1"/>
  <c r="DX13" i="1"/>
  <c r="W14" i="1"/>
  <c r="W15" i="1" s="1"/>
  <c r="DX15" i="1" l="1"/>
  <c r="CA15" i="1"/>
  <c r="DX14" i="1"/>
  <c r="CA14" i="1"/>
  <c r="DL8" i="1" l="1"/>
  <c r="DK7" i="1"/>
  <c r="DH9" i="1"/>
  <c r="DF14" i="1"/>
  <c r="CS14" i="1"/>
  <c r="DO6" i="1"/>
  <c r="CF6" i="1"/>
  <c r="DO9" i="1"/>
  <c r="CF9" i="1"/>
  <c r="DJ11" i="1"/>
  <c r="DI8" i="1"/>
  <c r="CP13" i="1"/>
  <c r="DG8" i="1"/>
  <c r="DG6" i="1"/>
  <c r="DK10" i="1"/>
  <c r="DN11" i="1"/>
  <c r="DF8" i="1"/>
  <c r="CS8" i="1"/>
  <c r="DG13" i="1"/>
  <c r="CP12" i="1"/>
  <c r="CS7" i="1"/>
  <c r="DF7" i="1"/>
  <c r="DF11" i="1"/>
  <c r="CS11" i="1"/>
  <c r="CW14" i="1"/>
  <c r="CT8" i="1"/>
  <c r="CE11" i="1"/>
  <c r="CY11" i="1"/>
  <c r="DN8" i="1"/>
  <c r="CP6" i="1"/>
  <c r="CW13" i="1"/>
  <c r="DJ12" i="1"/>
  <c r="CF7" i="1"/>
  <c r="DO7" i="1"/>
  <c r="CG10" i="1"/>
  <c r="DF12" i="1"/>
  <c r="BA12" i="1"/>
  <c r="CS12" i="1"/>
  <c r="DK11" i="1"/>
  <c r="CX6" i="1"/>
  <c r="DK14" i="1"/>
  <c r="CR8" i="1"/>
  <c r="CP14" i="1"/>
  <c r="BA14" i="1"/>
  <c r="CU8" i="1"/>
  <c r="DF9" i="1"/>
  <c r="CS9" i="1"/>
  <c r="DH8" i="1"/>
  <c r="BC9" i="1"/>
  <c r="DM8" i="1"/>
  <c r="CQ8" i="1"/>
  <c r="CW8" i="1"/>
  <c r="BI14" i="1"/>
  <c r="BI13" i="1"/>
  <c r="CX7" i="1"/>
  <c r="CG6" i="1"/>
  <c r="CE6" i="1"/>
  <c r="BQ6" i="1"/>
  <c r="BO6" i="1"/>
  <c r="CY6" i="1"/>
  <c r="CX13" i="1"/>
  <c r="CV8" i="1"/>
  <c r="BM12" i="1"/>
  <c r="DM12" i="1"/>
  <c r="AZ6" i="1"/>
  <c r="CR6" i="1"/>
  <c r="BC6" i="1"/>
  <c r="DH6" i="1"/>
  <c r="CT11" i="1"/>
  <c r="CE7" i="1"/>
  <c r="CY7" i="1"/>
  <c r="CT13" i="1"/>
  <c r="BD10" i="1"/>
  <c r="DI10" i="1"/>
  <c r="CT10" i="1"/>
  <c r="CE13" i="1"/>
  <c r="CY13" i="1"/>
  <c r="CY12" i="1"/>
  <c r="CE12" i="1"/>
  <c r="BL7" i="1"/>
  <c r="DL7" i="1"/>
  <c r="DK8" i="1"/>
  <c r="BC7" i="1"/>
  <c r="DH7" i="1"/>
  <c r="CX9" i="1"/>
  <c r="AZ9" i="1"/>
  <c r="CR9" i="1"/>
  <c r="DJ14" i="1"/>
  <c r="DK13" i="1"/>
  <c r="BM6" i="1"/>
  <c r="DM6" i="1"/>
  <c r="CT9" i="1"/>
  <c r="AX12" i="1"/>
  <c r="CP8" i="1"/>
  <c r="AX14" i="1"/>
  <c r="BA8" i="1"/>
  <c r="BL13" i="1"/>
  <c r="DL13" i="1"/>
  <c r="BD7" i="1"/>
  <c r="DI7" i="1"/>
  <c r="BI6" i="1"/>
  <c r="CW6" i="1"/>
  <c r="BI11" i="1"/>
  <c r="CW11" i="1"/>
  <c r="CX14" i="1"/>
  <c r="CX10" i="1"/>
  <c r="DF13" i="1"/>
  <c r="AX13" i="1"/>
  <c r="BA13" i="1"/>
  <c r="CS13" i="1"/>
  <c r="DG7" i="1"/>
  <c r="DN10" i="1"/>
  <c r="CY14" i="1"/>
  <c r="CE14" i="1"/>
  <c r="CF14" i="1"/>
  <c r="DO14" i="1"/>
  <c r="DG12" i="1"/>
  <c r="BB12" i="1"/>
  <c r="BE12" i="1"/>
  <c r="CT14" i="1"/>
  <c r="BQ11" i="1"/>
  <c r="CG11" i="1"/>
  <c r="DK9" i="1"/>
  <c r="DO12" i="1"/>
  <c r="CF12" i="1"/>
  <c r="AZ7" i="1"/>
  <c r="CR7" i="1"/>
  <c r="BG10" i="1"/>
  <c r="CU10" i="1"/>
  <c r="BC13" i="1"/>
  <c r="DH13" i="1"/>
  <c r="BG13" i="1"/>
  <c r="CU13" i="1"/>
  <c r="BH9" i="1"/>
  <c r="CV9" i="1"/>
  <c r="DG14" i="1"/>
  <c r="BB14" i="1"/>
  <c r="BE14" i="1"/>
  <c r="CY9" i="1"/>
  <c r="CE9" i="1"/>
  <c r="BJ6" i="1"/>
  <c r="BF6" i="1"/>
  <c r="CT6" i="1"/>
  <c r="CF10" i="1"/>
  <c r="BK10" i="1"/>
  <c r="BN10" i="1"/>
  <c r="BP10" i="1"/>
  <c r="DO10" i="1"/>
  <c r="CS10" i="1"/>
  <c r="DF10" i="1"/>
  <c r="AY7" i="1"/>
  <c r="CQ7" i="1"/>
  <c r="BQ12" i="1"/>
  <c r="CG12" i="1"/>
  <c r="AY9" i="1"/>
  <c r="CQ9" i="1"/>
  <c r="CS6" i="1"/>
  <c r="AX6" i="1"/>
  <c r="BA6" i="1"/>
  <c r="DF6" i="1"/>
  <c r="AY11" i="1"/>
  <c r="CQ11" i="1"/>
  <c r="CF8" i="1"/>
  <c r="BN8" i="1"/>
  <c r="BP8" i="1"/>
  <c r="DO8" i="1"/>
  <c r="BM9" i="1"/>
  <c r="DM9" i="1"/>
  <c r="DG11" i="1"/>
  <c r="BB11" i="1"/>
  <c r="BE11" i="1"/>
  <c r="BI12" i="1"/>
  <c r="CW12" i="1"/>
  <c r="BP14" i="1"/>
  <c r="BK14" i="1"/>
  <c r="BN14" i="1"/>
  <c r="DN14" i="1"/>
  <c r="BM7" i="1"/>
  <c r="DM7" i="1"/>
  <c r="BI9" i="1"/>
  <c r="CW9" i="1"/>
  <c r="BD11" i="1"/>
  <c r="DI11" i="1"/>
  <c r="AZ12" i="1"/>
  <c r="CR12" i="1"/>
  <c r="DG10" i="1"/>
  <c r="DK6" i="1"/>
  <c r="BH7" i="1"/>
  <c r="CV7" i="1"/>
  <c r="BM13" i="1"/>
  <c r="DM13" i="1"/>
  <c r="BD6" i="1"/>
  <c r="DI6" i="1"/>
  <c r="BL14" i="1"/>
  <c r="DL14" i="1"/>
  <c r="DG9" i="1"/>
  <c r="AY12" i="1"/>
  <c r="CQ12" i="1"/>
  <c r="BI10" i="1"/>
  <c r="CW10" i="1"/>
  <c r="CT12" i="1"/>
  <c r="BC12" i="1"/>
  <c r="DH12" i="1"/>
  <c r="BG12" i="1"/>
  <c r="CU12" i="1"/>
  <c r="CP9" i="1"/>
  <c r="AX9" i="1"/>
  <c r="BA9" i="1"/>
  <c r="CX8" i="1"/>
  <c r="BL6" i="1"/>
  <c r="DL6" i="1"/>
  <c r="BL11" i="1"/>
  <c r="DL11" i="1"/>
  <c r="BO12" i="1"/>
  <c r="BF12" i="1"/>
  <c r="BJ12" i="1"/>
  <c r="CX12" i="1"/>
  <c r="BL9" i="1"/>
  <c r="DL9" i="1"/>
  <c r="CP10" i="1"/>
  <c r="AX10" i="1"/>
  <c r="BA10" i="1"/>
  <c r="DO11" i="1"/>
  <c r="BK11" i="1"/>
  <c r="BN11" i="1"/>
  <c r="BP11" i="1"/>
  <c r="CF11" i="1"/>
  <c r="CG8" i="1"/>
  <c r="AY10" i="1"/>
  <c r="CQ10" i="1"/>
  <c r="DN9" i="1"/>
  <c r="BK9" i="1"/>
  <c r="BN9" i="1"/>
  <c r="BP9" i="1"/>
  <c r="BD14" i="1"/>
  <c r="DI14" i="1"/>
  <c r="DN6" i="1"/>
  <c r="BK6" i="1"/>
  <c r="BN6" i="1"/>
  <c r="BP6" i="1"/>
  <c r="BG6" i="1"/>
  <c r="CU6" i="1"/>
  <c r="DK12" i="1"/>
  <c r="BB10" i="1"/>
  <c r="BE10" i="1"/>
  <c r="DJ10" i="1"/>
  <c r="AZ13" i="1"/>
  <c r="CR13" i="1"/>
  <c r="BH13" i="1"/>
  <c r="CV13" i="1"/>
  <c r="BB13" i="1"/>
  <c r="BE13" i="1"/>
  <c r="DJ13" i="1"/>
  <c r="BG7" i="1"/>
  <c r="CU7" i="1"/>
  <c r="CX11" i="1"/>
  <c r="BF11" i="1"/>
  <c r="BJ11" i="1"/>
  <c r="BO11" i="1"/>
  <c r="BC11" i="1"/>
  <c r="DH11" i="1"/>
  <c r="DN12" i="1"/>
  <c r="BK12" i="1"/>
  <c r="BN12" i="1"/>
  <c r="BP12" i="1"/>
  <c r="BM10" i="1"/>
  <c r="DM10" i="1"/>
  <c r="BF13" i="1"/>
  <c r="BJ13" i="1"/>
  <c r="BO13" i="1"/>
  <c r="BQ13" i="1"/>
  <c r="CG13" i="1"/>
  <c r="DO13" i="1"/>
  <c r="CF13" i="1"/>
  <c r="BM11" i="1"/>
  <c r="DM11" i="1"/>
  <c r="BD12" i="1"/>
  <c r="DI12" i="1"/>
  <c r="CY8" i="1"/>
  <c r="BQ8" i="1"/>
  <c r="BJ8" i="1"/>
  <c r="BO8" i="1"/>
  <c r="CE8" i="1"/>
  <c r="CP7" i="1"/>
  <c r="AX7" i="1"/>
  <c r="BA7" i="1"/>
  <c r="BC14" i="1"/>
  <c r="DH14" i="1"/>
  <c r="CT7" i="1"/>
  <c r="DN7" i="1"/>
  <c r="BK7" i="1"/>
  <c r="BN7" i="1"/>
  <c r="BP7" i="1"/>
  <c r="BG9" i="1"/>
  <c r="CU9" i="1"/>
  <c r="BF9" i="1"/>
  <c r="BJ9" i="1"/>
  <c r="BO9" i="1"/>
  <c r="BQ9" i="1"/>
  <c r="CG9" i="1"/>
  <c r="BF14" i="1"/>
  <c r="BJ14" i="1"/>
  <c r="BO14" i="1"/>
  <c r="BQ14" i="1"/>
  <c r="CG14" i="1"/>
  <c r="AY14" i="1"/>
  <c r="CQ14" i="1"/>
  <c r="AY13" i="1"/>
  <c r="CQ13" i="1"/>
  <c r="BF7" i="1"/>
  <c r="BJ7" i="1"/>
  <c r="BO7" i="1"/>
  <c r="BQ7" i="1"/>
  <c r="CG7" i="1"/>
  <c r="AZ14" i="1"/>
  <c r="CR14" i="1"/>
  <c r="BH6" i="1"/>
  <c r="CV6" i="1"/>
  <c r="BD9" i="1"/>
  <c r="DI9" i="1"/>
  <c r="DN13" i="1"/>
  <c r="BK8" i="1"/>
  <c r="BK13" i="1"/>
  <c r="BN13" i="1"/>
  <c r="BP13" i="1"/>
  <c r="BB7" i="1"/>
  <c r="BE7" i="1"/>
  <c r="DJ7" i="1"/>
  <c r="BH12" i="1"/>
  <c r="CV12" i="1"/>
  <c r="CY10" i="1"/>
  <c r="CE10" i="1"/>
  <c r="BF8" i="1"/>
  <c r="BF10" i="1"/>
  <c r="BJ10" i="1"/>
  <c r="BO10" i="1"/>
  <c r="BQ10" i="1"/>
  <c r="CP11" i="1"/>
  <c r="AX8" i="1"/>
  <c r="AX11" i="1"/>
  <c r="BA11" i="1"/>
  <c r="AZ10" i="1"/>
  <c r="CR10" i="1"/>
  <c r="BG14" i="1"/>
  <c r="CU14" i="1"/>
  <c r="BH11" i="1"/>
  <c r="CV11" i="1"/>
  <c r="BL12" i="1"/>
  <c r="DL12" i="1"/>
  <c r="BG8" i="1"/>
  <c r="BG11" i="1"/>
  <c r="CU11" i="1"/>
  <c r="BC8" i="1"/>
  <c r="BC10" i="1"/>
  <c r="DH10" i="1"/>
  <c r="BH14" i="1"/>
  <c r="CV14" i="1"/>
  <c r="BH8" i="1"/>
  <c r="BH10" i="1"/>
  <c r="CV10" i="1"/>
  <c r="BI8" i="1"/>
  <c r="BI7" i="1"/>
  <c r="CW7" i="1"/>
  <c r="BL8" i="1"/>
  <c r="BL10" i="1"/>
  <c r="DL10" i="1"/>
  <c r="BM8" i="1"/>
  <c r="BM14" i="1"/>
  <c r="DM14" i="1"/>
  <c r="BB6" i="1"/>
  <c r="BE6" i="1"/>
  <c r="DJ6" i="1"/>
  <c r="AZ8" i="1"/>
  <c r="AZ11" i="1"/>
  <c r="CR11" i="1"/>
  <c r="AY8" i="1"/>
  <c r="AY6" i="1"/>
  <c r="CQ6" i="1"/>
  <c r="BD8" i="1"/>
  <c r="BD13" i="1"/>
  <c r="DI13" i="1"/>
  <c r="BB9" i="1"/>
  <c r="BE9" i="1"/>
  <c r="DJ9" i="1"/>
  <c r="BB8" i="1"/>
  <c r="BE8" i="1"/>
  <c r="DJ8" i="1"/>
</calcChain>
</file>

<file path=xl/sharedStrings.xml><?xml version="1.0" encoding="utf-8"?>
<sst xmlns="http://schemas.openxmlformats.org/spreadsheetml/2006/main" count="183" uniqueCount="147">
  <si>
    <t>Mrs</t>
  </si>
  <si>
    <t>TAFON MIRADINE SHIEN</t>
  </si>
  <si>
    <t>PRE-NURSERY</t>
  </si>
  <si>
    <t>BABY NURSERY</t>
  </si>
  <si>
    <t>049/Elites/21</t>
  </si>
  <si>
    <t>330-1039072-2</t>
  </si>
  <si>
    <t>BUI</t>
  </si>
  <si>
    <t>ENIA</t>
  </si>
  <si>
    <t>Célibataire</t>
  </si>
  <si>
    <t>O-LEVEL</t>
  </si>
  <si>
    <t>Miss</t>
  </si>
  <si>
    <t>GLAINNES FOMONYUY</t>
  </si>
  <si>
    <t>Baby nursery</t>
  </si>
  <si>
    <t>061/Elites/23</t>
  </si>
  <si>
    <t>330-1042196-4</t>
  </si>
  <si>
    <t>MERE POULE</t>
  </si>
  <si>
    <t>Celibataire</t>
  </si>
  <si>
    <t>A-LEVEL</t>
  </si>
  <si>
    <t>AGBORNDE CATHERINE BESONG</t>
  </si>
  <si>
    <t>Nursery 1A</t>
  </si>
  <si>
    <t>Nursery 1-A</t>
  </si>
  <si>
    <t>P028513407817B</t>
  </si>
  <si>
    <t xml:space="preserve">008/Elites/17 </t>
  </si>
  <si>
    <t>330-1027740-8</t>
  </si>
  <si>
    <t>MANYU</t>
  </si>
  <si>
    <t>MONOU2</t>
  </si>
  <si>
    <t>Mariée</t>
  </si>
  <si>
    <t>FABIOLA ABURINYUY NSAIDZEDZE</t>
  </si>
  <si>
    <t>Nursery 1 assistant</t>
  </si>
  <si>
    <t>069/Elites/23</t>
  </si>
  <si>
    <t>330-1042197-2</t>
  </si>
  <si>
    <t>Maried</t>
  </si>
  <si>
    <t>CHEMO LAURIETTA BUVA</t>
  </si>
  <si>
    <t>Nursery 2</t>
  </si>
  <si>
    <t>Nursery 2-A</t>
  </si>
  <si>
    <t>P039016367815G</t>
  </si>
  <si>
    <t>034/Elites/20</t>
  </si>
  <si>
    <t>330-1036348-9</t>
  </si>
  <si>
    <t>NDONGA-MANTUNG</t>
  </si>
  <si>
    <t>CAPIEM</t>
  </si>
  <si>
    <t>BACHELOR Biochem</t>
  </si>
  <si>
    <t>TENDONGZE NKEONGAFACK CHARYL MANYINGOCH</t>
  </si>
  <si>
    <t>Nursery 2 assistant</t>
  </si>
  <si>
    <t>067/Elites/23</t>
  </si>
  <si>
    <t>410-1040700-5</t>
  </si>
  <si>
    <t>LEBIALEM</t>
  </si>
  <si>
    <t>Mont Cameroun</t>
  </si>
  <si>
    <t>Bachelor science</t>
  </si>
  <si>
    <t>Mme</t>
  </si>
  <si>
    <t>MOUNA GOUYOUK épse TOUNOUMOU</t>
  </si>
  <si>
    <t>Petite section</t>
  </si>
  <si>
    <t>070/Elites/23</t>
  </si>
  <si>
    <t>330-1042194-9</t>
  </si>
  <si>
    <t>KAELE</t>
  </si>
  <si>
    <t>ATEBA ELOUANGUE AMANDINE</t>
  </si>
  <si>
    <t>Moyenne section</t>
  </si>
  <si>
    <t>P100116393544Q</t>
  </si>
  <si>
    <t>043/Elites/21</t>
  </si>
  <si>
    <t>330-1037782-8</t>
  </si>
  <si>
    <t>HAUT-NYOUNG</t>
  </si>
  <si>
    <t>NGAIKADA</t>
  </si>
  <si>
    <t>BACC</t>
  </si>
  <si>
    <t>Mlle</t>
  </si>
  <si>
    <t>TANKE NDONGO SALOME HORTENSE</t>
  </si>
  <si>
    <t>Grande section &amp; assistante pédagogique maternelle</t>
  </si>
  <si>
    <t>Grande section</t>
  </si>
  <si>
    <t>006/Elites/16</t>
  </si>
  <si>
    <t>330-1026374-7</t>
  </si>
  <si>
    <t>OCEAN</t>
  </si>
  <si>
    <t>BEPC</t>
  </si>
  <si>
    <t>Compte d'emploi impôt du mois de:</t>
  </si>
  <si>
    <t>Compte d'emploi CNPS du mois de:</t>
  </si>
  <si>
    <t>MISE EN PLACE DU PERSONNEL 2023 - 2024 GLOBAL STAFF STATUS</t>
  </si>
  <si>
    <t>Part Salariale / worker participation</t>
  </si>
  <si>
    <t>Part Patronale / employer contribution</t>
  </si>
  <si>
    <t>Compte d'emploi salaire du mois de:</t>
  </si>
  <si>
    <t>Part salarial</t>
  </si>
  <si>
    <t>Part patronale</t>
  </si>
  <si>
    <t>Compte d'emploi SALAIRES ET AMICALE ELITES du mois de:</t>
  </si>
  <si>
    <t>N°</t>
  </si>
  <si>
    <t>Civilité</t>
  </si>
  <si>
    <t>Teachers name /
 NOMS DES ENSEIGNANTS</t>
  </si>
  <si>
    <t>Duty poste 2021</t>
  </si>
  <si>
    <t>Affectations 
Duty post</t>
  </si>
  <si>
    <t>Numéro unique</t>
  </si>
  <si>
    <t>Matricules</t>
  </si>
  <si>
    <t>N°CNPS</t>
  </si>
  <si>
    <t>Births</t>
  </si>
  <si>
    <t>Date Start</t>
  </si>
  <si>
    <t>Date end</t>
  </si>
  <si>
    <t>Date retraite</t>
  </si>
  <si>
    <t>Division of Origine</t>
  </si>
  <si>
    <t>Residence</t>
  </si>
  <si>
    <t>ORANGE</t>
  </si>
  <si>
    <t>MTN</t>
  </si>
  <si>
    <t>Married?</t>
  </si>
  <si>
    <t>NB children &lt;21yrs</t>
  </si>
  <si>
    <t>Diplôme
Prof</t>
  </si>
  <si>
    <t>Diplôme
Academic</t>
  </si>
  <si>
    <t>Date Month start</t>
  </si>
  <si>
    <t>Date month end</t>
  </si>
  <si>
    <t>Working days month</t>
  </si>
  <si>
    <t>Days work</t>
  </si>
  <si>
    <t>Counter compteur</t>
  </si>
  <si>
    <t>Longivity years</t>
  </si>
  <si>
    <t>Longivity Month</t>
  </si>
  <si>
    <t>Basic salary</t>
  </si>
  <si>
    <t>Longivity bonus</t>
  </si>
  <si>
    <t>Total taxable</t>
  </si>
  <si>
    <t>Comm</t>
  </si>
  <si>
    <t>Transport Bonus</t>
  </si>
  <si>
    <t>Recherche &amp; leçon/ Recherche &amp; lesson</t>
  </si>
  <si>
    <t>Prime performance Bonus</t>
  </si>
  <si>
    <t>Total bonus</t>
  </si>
  <si>
    <t xml:space="preserve">Total brut Salary </t>
  </si>
  <si>
    <t xml:space="preserve">G. Total Salary </t>
  </si>
  <si>
    <t>Last year 2021-2022</t>
  </si>
  <si>
    <t>this year 2022-2023</t>
  </si>
  <si>
    <t>Increased</t>
  </si>
  <si>
    <t>CATEGORIE</t>
  </si>
  <si>
    <t>IRPP (Impôt)</t>
  </si>
  <si>
    <t>Taxe de dév local (Impôt)</t>
  </si>
  <si>
    <t>Credit Foncier du C (Impôt)</t>
  </si>
  <si>
    <t>Fond National Emploi (Impôt)</t>
  </si>
  <si>
    <t>Total impôt Salariale</t>
  </si>
  <si>
    <t>CNPS Pension vieillesse</t>
  </si>
  <si>
    <t>CNPS Allocation familiale</t>
  </si>
  <si>
    <t>CNPS Accident de travail</t>
  </si>
  <si>
    <t>Total CNPS salariale</t>
  </si>
  <si>
    <t>Total impôt patronale</t>
  </si>
  <si>
    <t>Total CNPS patronale</t>
  </si>
  <si>
    <t>G. Total Taxe/ impôt</t>
  </si>
  <si>
    <t>G. Total CNPS</t>
  </si>
  <si>
    <t>Total contribution</t>
  </si>
  <si>
    <t>Total monthly fixe salary</t>
  </si>
  <si>
    <t>This month salary</t>
  </si>
  <si>
    <t>Loan out</t>
  </si>
  <si>
    <t>Njangi</t>
  </si>
  <si>
    <t>Raff</t>
  </si>
  <si>
    <t>Lateness</t>
  </si>
  <si>
    <t>Absence</t>
  </si>
  <si>
    <t>Total take home</t>
  </si>
  <si>
    <t>31/04/2024</t>
  </si>
  <si>
    <t>This year</t>
  </si>
  <si>
    <t>NANGA TSIGUE EMELINE VARTAN</t>
  </si>
  <si>
    <t>Assistante GS</t>
  </si>
  <si>
    <t>073/Elites/24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</si>
</sst>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164" formatCode="_-* #,##0\ _F_C_F_A_-;\-* #,##0\ _F_C_F_A_-;_-* &quot;-&quot;\ _F_C_F_A_-;_-@_-"/>
    <numFmt numFmtId="165" formatCode="_-* #,##0.0\ _F_C_F_A_-;\-* #,##0.0\ _F_C_F_A_-;_-* &quot;-&quot;\ _F_C_F_A_-;_-@_-"/>
    <numFmt numFmtId="166" formatCode="d/m/yy;@"/>
    <numFmt numFmtId="167" formatCode="#,##0_ ;\-#,##0\ "/>
    <numFmt numFmtId="168" formatCode="[$-40C]d\-mmm;@"/>
    <numFmt numFmtId="169" formatCode="[$-40C]d\-mmm\-yy;@"/>
    <numFmt numFmtId="170" formatCode="dd/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 Black"/>
      <family val="2"/>
    </font>
    <font>
      <b/>
      <sz val="11"/>
      <name val="Arial"/>
      <family val="2"/>
    </font>
    <font>
      <b/>
      <sz val="14"/>
      <name val="Arial Black"/>
      <family val="2"/>
    </font>
    <font>
      <b/>
      <sz val="10"/>
      <name val="Arial Black"/>
      <family val="2"/>
    </font>
    <font>
      <sz val="11"/>
      <name val="Arial Black"/>
      <family val="2"/>
    </font>
    <font>
      <sz val="10"/>
      <name val="Arial Black"/>
      <family val="2"/>
    </font>
    <font>
      <sz val="12"/>
      <name val="Arial Black"/>
      <family val="2"/>
    </font>
    <font>
      <b/>
      <sz val="9"/>
      <name val="Arial Black"/>
      <family val="2"/>
    </font>
    <font>
      <sz val="10"/>
      <color theme="1"/>
      <name val="Arial Rounded MT Bold"/>
      <family val="2"/>
    </font>
    <font>
      <b/>
      <sz val="14"/>
      <name val="Arial Narrow"/>
      <family val="2"/>
    </font>
    <font>
      <b/>
      <sz val="14"/>
      <name val="Arial"/>
      <family val="2"/>
    </font>
    <font>
      <b/>
      <sz val="11"/>
      <name val="Arial Narrow"/>
      <family val="2"/>
    </font>
    <font>
      <sz val="22"/>
      <name val="Arial Black"/>
      <family val="2"/>
    </font>
    <font>
      <sz val="11"/>
      <name val="Calibri"/>
      <family val="2"/>
      <scheme val="minor"/>
    </font>
    <font>
      <sz val="14"/>
      <name val="Arial Black"/>
      <family val="2"/>
    </font>
    <font>
      <sz val="9"/>
      <name val="Arial Black"/>
      <family val="2"/>
    </font>
    <font>
      <b/>
      <sz val="11"/>
      <color rgb="FFC00000"/>
      <name val="Arial Rounded MT Bold"/>
      <family val="2"/>
    </font>
    <font>
      <b/>
      <sz val="11"/>
      <color theme="1"/>
      <name val="Arial Rounded MT Bold"/>
      <family val="2"/>
    </font>
    <font>
      <sz val="18"/>
      <name val="Arial Black"/>
      <family val="2"/>
    </font>
    <font>
      <sz val="16"/>
      <name val="Arial Black"/>
      <family val="2"/>
    </font>
    <font>
      <b/>
      <sz val="9"/>
      <color rgb="FF7030A0"/>
      <name val="Arial Black"/>
      <family val="2"/>
    </font>
    <font>
      <b/>
      <sz val="8"/>
      <color rgb="FF7030A0"/>
      <name val="Arial Black"/>
      <family val="2"/>
    </font>
    <font>
      <b/>
      <sz val="14"/>
      <color rgb="FF7030A0"/>
      <name val="Arial Black"/>
      <family val="2"/>
    </font>
    <font>
      <sz val="9"/>
      <color rgb="FF7030A0"/>
      <name val="Arial Black"/>
      <family val="2"/>
    </font>
    <font>
      <sz val="9"/>
      <color rgb="FFC00000"/>
      <name val="Arial Black"/>
      <family val="2"/>
    </font>
    <font>
      <b/>
      <sz val="7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auto="1"/>
      </bottom>
      <diagonal/>
    </border>
    <border>
      <left style="thin">
        <color indexed="64"/>
      </left>
      <right/>
      <top style="medium">
        <color indexed="64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0">
    <xf numFmtId="0" fontId="0" fillId="0" borderId="0" xfId="0"/>
    <xf numFmtId="41" fontId="2" fillId="2" borderId="1" xfId="0" applyNumberFormat="1" applyFont="1" applyFill="1" applyBorder="1" applyAlignment="1">
      <alignment horizontal="left" vertical="center"/>
    </xf>
    <xf numFmtId="41" fontId="3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left" vertical="center"/>
    </xf>
    <xf numFmtId="14" fontId="2" fillId="2" borderId="3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6" fontId="6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7" fontId="6" fillId="2" borderId="2" xfId="0" applyNumberFormat="1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167" fontId="7" fillId="2" borderId="8" xfId="0" applyNumberFormat="1" applyFont="1" applyFill="1" applyBorder="1" applyAlignment="1">
      <alignment horizontal="center" vertical="center"/>
    </xf>
    <xf numFmtId="167" fontId="6" fillId="2" borderId="6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 wrapText="1"/>
    </xf>
    <xf numFmtId="167" fontId="6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left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left" vertical="center" wrapText="1"/>
    </xf>
    <xf numFmtId="168" fontId="2" fillId="2" borderId="7" xfId="0" applyNumberFormat="1" applyFont="1" applyFill="1" applyBorder="1" applyAlignment="1">
      <alignment horizontal="left" vertical="center" wrapText="1"/>
    </xf>
    <xf numFmtId="168" fontId="2" fillId="2" borderId="1" xfId="0" applyNumberFormat="1" applyFont="1" applyFill="1" applyBorder="1" applyAlignment="1">
      <alignment horizontal="left" vertical="center" wrapText="1"/>
    </xf>
    <xf numFmtId="167" fontId="2" fillId="2" borderId="1" xfId="0" applyNumberFormat="1" applyFont="1" applyFill="1" applyBorder="1" applyAlignment="1">
      <alignment horizontal="left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left" vertical="center"/>
    </xf>
    <xf numFmtId="14" fontId="2" fillId="3" borderId="3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4" fontId="2" fillId="3" borderId="4" xfId="0" applyNumberFormat="1" applyFont="1" applyFill="1" applyBorder="1" applyAlignment="1">
      <alignment horizontal="left" vertical="center" wrapText="1"/>
    </xf>
    <xf numFmtId="166" fontId="6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167" fontId="6" fillId="3" borderId="2" xfId="0" applyNumberFormat="1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167" fontId="7" fillId="3" borderId="8" xfId="0" applyNumberFormat="1" applyFont="1" applyFill="1" applyBorder="1" applyAlignment="1">
      <alignment horizontal="center" vertical="center"/>
    </xf>
    <xf numFmtId="167" fontId="7" fillId="3" borderId="6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167" fontId="6" fillId="3" borderId="8" xfId="0" applyNumberFormat="1" applyFont="1" applyFill="1" applyBorder="1" applyAlignment="1">
      <alignment horizontal="center" vertical="center"/>
    </xf>
    <xf numFmtId="167" fontId="6" fillId="3" borderId="6" xfId="0" applyNumberFormat="1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4" fontId="6" fillId="3" borderId="6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left" vertical="center" wrapText="1"/>
    </xf>
    <xf numFmtId="168" fontId="2" fillId="3" borderId="7" xfId="0" applyNumberFormat="1" applyFont="1" applyFill="1" applyBorder="1" applyAlignment="1">
      <alignment horizontal="left" vertical="center" wrapText="1"/>
    </xf>
    <xf numFmtId="168" fontId="2" fillId="3" borderId="1" xfId="0" applyNumberFormat="1" applyFont="1" applyFill="1" applyBorder="1" applyAlignment="1">
      <alignment horizontal="left" vertical="center" wrapText="1"/>
    </xf>
    <xf numFmtId="167" fontId="2" fillId="3" borderId="1" xfId="0" applyNumberFormat="1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7" fontId="6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14" fontId="6" fillId="4" borderId="12" xfId="0" applyNumberFormat="1" applyFont="1" applyFill="1" applyBorder="1" applyAlignment="1">
      <alignment horizontal="center" vertical="center"/>
    </xf>
    <xf numFmtId="14" fontId="6" fillId="4" borderId="13" xfId="0" applyNumberFormat="1" applyFont="1" applyFill="1" applyBorder="1" applyAlignment="1">
      <alignment horizontal="center" vertical="center"/>
    </xf>
    <xf numFmtId="0" fontId="15" fillId="0" borderId="0" xfId="0" applyFont="1"/>
    <xf numFmtId="0" fontId="6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6" fillId="0" borderId="0" xfId="0" applyFont="1"/>
    <xf numFmtId="164" fontId="17" fillId="0" borderId="0" xfId="0" applyNumberFormat="1" applyFont="1"/>
    <xf numFmtId="0" fontId="18" fillId="5" borderId="14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vertical="center" wrapText="1"/>
    </xf>
    <xf numFmtId="0" fontId="15" fillId="0" borderId="21" xfId="0" applyFont="1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4" borderId="13" xfId="0" applyFont="1" applyFill="1" applyBorder="1" applyAlignment="1">
      <alignment vertical="center" wrapText="1"/>
    </xf>
    <xf numFmtId="0" fontId="6" fillId="0" borderId="2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4" borderId="0" xfId="0" applyFont="1" applyFill="1" applyAlignment="1">
      <alignment vertical="center" wrapText="1"/>
    </xf>
    <xf numFmtId="0" fontId="20" fillId="4" borderId="22" xfId="0" applyFont="1" applyFill="1" applyBorder="1" applyAlignment="1">
      <alignment vertical="center"/>
    </xf>
    <xf numFmtId="0" fontId="21" fillId="4" borderId="12" xfId="0" applyFont="1" applyFill="1" applyBorder="1" applyAlignment="1">
      <alignment horizontal="left" vertical="center"/>
    </xf>
    <xf numFmtId="169" fontId="4" fillId="4" borderId="12" xfId="0" applyNumberFormat="1" applyFont="1" applyFill="1" applyBorder="1" applyAlignment="1">
      <alignment horizontal="left" vertical="center"/>
    </xf>
    <xf numFmtId="169" fontId="4" fillId="4" borderId="13" xfId="0" applyNumberFormat="1" applyFont="1" applyFill="1" applyBorder="1" applyAlignment="1">
      <alignment horizontal="left" vertical="center"/>
    </xf>
    <xf numFmtId="0" fontId="6" fillId="6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14" fontId="2" fillId="6" borderId="25" xfId="0" applyNumberFormat="1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/>
    </xf>
    <xf numFmtId="1" fontId="9" fillId="6" borderId="25" xfId="0" applyNumberFormat="1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left" vertical="center" wrapText="1"/>
    </xf>
    <xf numFmtId="0" fontId="9" fillId="6" borderId="26" xfId="0" applyFont="1" applyFill="1" applyBorder="1" applyAlignment="1">
      <alignment horizontal="left" vertical="center" wrapText="1"/>
    </xf>
    <xf numFmtId="0" fontId="22" fillId="7" borderId="23" xfId="0" applyFont="1" applyFill="1" applyBorder="1" applyAlignment="1">
      <alignment horizontal="left" vertical="center" wrapText="1"/>
    </xf>
    <xf numFmtId="0" fontId="23" fillId="7" borderId="25" xfId="0" applyFont="1" applyFill="1" applyBorder="1" applyAlignment="1">
      <alignment horizontal="center" vertical="center" wrapText="1"/>
    </xf>
    <xf numFmtId="0" fontId="22" fillId="7" borderId="25" xfId="0" applyFont="1" applyFill="1" applyBorder="1" applyAlignment="1">
      <alignment horizontal="center" vertical="center" wrapText="1"/>
    </xf>
    <xf numFmtId="0" fontId="24" fillId="7" borderId="25" xfId="0" applyFont="1" applyFill="1" applyBorder="1" applyAlignment="1">
      <alignment horizontal="center" vertical="center" wrapText="1"/>
    </xf>
    <xf numFmtId="0" fontId="25" fillId="7" borderId="25" xfId="0" applyFont="1" applyFill="1" applyBorder="1" applyAlignment="1">
      <alignment horizontal="left" vertical="center" wrapText="1"/>
    </xf>
    <xf numFmtId="0" fontId="25" fillId="7" borderId="27" xfId="0" applyFont="1" applyFill="1" applyBorder="1" applyAlignment="1">
      <alignment horizontal="left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25" fillId="7" borderId="23" xfId="0" applyFont="1" applyFill="1" applyBorder="1" applyAlignment="1">
      <alignment horizontal="left" vertical="center"/>
    </xf>
    <xf numFmtId="0" fontId="25" fillId="7" borderId="25" xfId="0" applyFont="1" applyFill="1" applyBorder="1" applyAlignment="1">
      <alignment horizontal="left" vertical="center"/>
    </xf>
    <xf numFmtId="0" fontId="17" fillId="8" borderId="23" xfId="0" applyFont="1" applyFill="1" applyBorder="1" applyAlignment="1">
      <alignment horizontal="center" vertical="center" wrapText="1"/>
    </xf>
    <xf numFmtId="0" fontId="26" fillId="8" borderId="25" xfId="0" applyFont="1" applyFill="1" applyBorder="1" applyAlignment="1">
      <alignment horizontal="center" vertical="center" wrapText="1"/>
    </xf>
    <xf numFmtId="0" fontId="26" fillId="8" borderId="27" xfId="0" applyFont="1" applyFill="1" applyBorder="1" applyAlignment="1">
      <alignment horizontal="center" vertical="center" wrapText="1"/>
    </xf>
    <xf numFmtId="41" fontId="6" fillId="7" borderId="28" xfId="0" applyNumberFormat="1" applyFont="1" applyFill="1" applyBorder="1" applyAlignment="1">
      <alignment horizontal="left" vertical="center" wrapText="1"/>
    </xf>
    <xf numFmtId="0" fontId="6" fillId="7" borderId="27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7" fillId="9" borderId="33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1" fontId="9" fillId="6" borderId="34" xfId="0" applyNumberFormat="1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 wrapText="1"/>
    </xf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41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1" fontId="9" fillId="6" borderId="42" xfId="0" applyNumberFormat="1" applyFont="1" applyFill="1" applyBorder="1" applyAlignment="1">
      <alignment horizontal="center" vertical="center" wrapText="1"/>
    </xf>
    <xf numFmtId="1" fontId="9" fillId="6" borderId="43" xfId="0" applyNumberFormat="1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6" borderId="44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1" fontId="27" fillId="6" borderId="42" xfId="0" applyNumberFormat="1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9" fillId="6" borderId="46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1" fontId="9" fillId="6" borderId="39" xfId="0" applyNumberFormat="1" applyFont="1" applyFill="1" applyBorder="1" applyAlignment="1">
      <alignment horizontal="center" vertical="center" wrapText="1"/>
    </xf>
    <xf numFmtId="1" fontId="9" fillId="6" borderId="47" xfId="0" applyNumberFormat="1" applyFont="1" applyFill="1" applyBorder="1" applyAlignment="1">
      <alignment horizontal="center" vertical="center" wrapText="1"/>
    </xf>
    <xf numFmtId="1" fontId="9" fillId="6" borderId="40" xfId="0" applyNumberFormat="1" applyFont="1" applyFill="1" applyBorder="1" applyAlignment="1">
      <alignment horizontal="center" vertical="center" wrapText="1"/>
    </xf>
    <xf numFmtId="1" fontId="9" fillId="6" borderId="46" xfId="0" applyNumberFormat="1" applyFont="1" applyFill="1" applyBorder="1" applyAlignment="1">
      <alignment horizontal="center" vertical="center" wrapText="1"/>
    </xf>
    <xf numFmtId="1" fontId="9" fillId="6" borderId="30" xfId="0" applyNumberFormat="1" applyFont="1" applyFill="1" applyBorder="1" applyAlignment="1">
      <alignment horizontal="center" vertical="center" wrapText="1"/>
    </xf>
    <xf numFmtId="0" fontId="9" fillId="6" borderId="48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14" fontId="2" fillId="2" borderId="50" xfId="0" applyNumberFormat="1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/>
    </xf>
    <xf numFmtId="1" fontId="2" fillId="2" borderId="50" xfId="0" applyNumberFormat="1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left" vertical="center" wrapText="1"/>
    </xf>
    <xf numFmtId="0" fontId="2" fillId="2" borderId="51" xfId="0" applyFont="1" applyFill="1" applyBorder="1" applyAlignment="1">
      <alignment horizontal="left" vertical="center" wrapText="1"/>
    </xf>
    <xf numFmtId="170" fontId="2" fillId="7" borderId="52" xfId="0" applyNumberFormat="1" applyFont="1" applyFill="1" applyBorder="1" applyAlignment="1">
      <alignment horizontal="left" vertical="center" wrapText="1"/>
    </xf>
    <xf numFmtId="164" fontId="2" fillId="7" borderId="50" xfId="0" applyNumberFormat="1" applyFont="1" applyFill="1" applyBorder="1" applyAlignment="1">
      <alignment horizontal="center" vertical="center" wrapText="1"/>
    </xf>
    <xf numFmtId="14" fontId="4" fillId="7" borderId="50" xfId="0" applyNumberFormat="1" applyFont="1" applyFill="1" applyBorder="1" applyAlignment="1">
      <alignment horizontal="center" vertical="center" wrapText="1"/>
    </xf>
    <xf numFmtId="164" fontId="6" fillId="7" borderId="50" xfId="0" applyNumberFormat="1" applyFont="1" applyFill="1" applyBorder="1" applyAlignment="1">
      <alignment horizontal="left" vertical="center"/>
    </xf>
    <xf numFmtId="164" fontId="6" fillId="7" borderId="53" xfId="0" applyNumberFormat="1" applyFont="1" applyFill="1" applyBorder="1" applyAlignment="1">
      <alignment horizontal="left" vertical="center"/>
    </xf>
    <xf numFmtId="164" fontId="6" fillId="8" borderId="54" xfId="0" applyNumberFormat="1" applyFont="1" applyFill="1" applyBorder="1" applyAlignment="1">
      <alignment horizontal="left" vertical="center"/>
    </xf>
    <xf numFmtId="164" fontId="6" fillId="7" borderId="55" xfId="0" applyNumberFormat="1" applyFont="1" applyFill="1" applyBorder="1" applyAlignment="1">
      <alignment horizontal="left" vertical="center"/>
    </xf>
    <xf numFmtId="164" fontId="6" fillId="7" borderId="50" xfId="0" applyNumberFormat="1" applyFont="1" applyFill="1" applyBorder="1" applyAlignment="1">
      <alignment horizontal="left" vertical="center" wrapText="1"/>
    </xf>
    <xf numFmtId="164" fontId="6" fillId="7" borderId="53" xfId="0" applyNumberFormat="1" applyFont="1" applyFill="1" applyBorder="1" applyAlignment="1">
      <alignment horizontal="left" vertical="center" wrapText="1"/>
    </xf>
    <xf numFmtId="164" fontId="6" fillId="8" borderId="55" xfId="0" applyNumberFormat="1" applyFont="1" applyFill="1" applyBorder="1" applyAlignment="1">
      <alignment horizontal="left" vertical="center"/>
    </xf>
    <xf numFmtId="164" fontId="6" fillId="8" borderId="56" xfId="0" applyNumberFormat="1" applyFont="1" applyFill="1" applyBorder="1" applyAlignment="1">
      <alignment horizontal="left" vertical="center"/>
    </xf>
    <xf numFmtId="164" fontId="6" fillId="7" borderId="54" xfId="0" applyNumberFormat="1" applyFont="1" applyFill="1" applyBorder="1" applyAlignment="1">
      <alignment horizontal="left" vertical="center" wrapText="1"/>
    </xf>
    <xf numFmtId="164" fontId="6" fillId="7" borderId="51" xfId="0" applyNumberFormat="1" applyFont="1" applyFill="1" applyBorder="1" applyAlignment="1">
      <alignment horizontal="left" vertical="center"/>
    </xf>
    <xf numFmtId="164" fontId="15" fillId="0" borderId="54" xfId="0" applyNumberFormat="1" applyFont="1" applyBorder="1" applyAlignment="1">
      <alignment horizontal="left" vertical="center"/>
    </xf>
    <xf numFmtId="164" fontId="2" fillId="6" borderId="57" xfId="0" applyNumberFormat="1" applyFont="1" applyFill="1" applyBorder="1" applyAlignment="1">
      <alignment horizontal="center" vertical="center" wrapText="1"/>
    </xf>
    <xf numFmtId="10" fontId="2" fillId="6" borderId="51" xfId="1" applyNumberFormat="1" applyFont="1" applyFill="1" applyBorder="1" applyAlignment="1">
      <alignment horizontal="center" vertical="center" wrapText="1"/>
    </xf>
    <xf numFmtId="10" fontId="6" fillId="8" borderId="50" xfId="1" applyNumberFormat="1" applyFont="1" applyFill="1" applyBorder="1" applyAlignment="1">
      <alignment horizontal="center" vertical="center"/>
    </xf>
    <xf numFmtId="10" fontId="6" fillId="8" borderId="53" xfId="0" applyNumberFormat="1" applyFont="1" applyFill="1" applyBorder="1" applyAlignment="1">
      <alignment horizontal="center" vertical="center"/>
    </xf>
    <xf numFmtId="164" fontId="2" fillId="5" borderId="57" xfId="0" applyNumberFormat="1" applyFont="1" applyFill="1" applyBorder="1" applyAlignment="1">
      <alignment horizontal="center" vertical="center" wrapText="1"/>
    </xf>
    <xf numFmtId="10" fontId="2" fillId="5" borderId="51" xfId="1" applyNumberFormat="1" applyFont="1" applyFill="1" applyBorder="1" applyAlignment="1">
      <alignment horizontal="center" vertical="center" wrapText="1"/>
    </xf>
    <xf numFmtId="10" fontId="6" fillId="9" borderId="50" xfId="1" applyNumberFormat="1" applyFont="1" applyFill="1" applyBorder="1" applyAlignment="1">
      <alignment horizontal="center" vertical="center"/>
    </xf>
    <xf numFmtId="10" fontId="6" fillId="9" borderId="53" xfId="0" applyNumberFormat="1" applyFont="1" applyFill="1" applyBorder="1" applyAlignment="1">
      <alignment horizontal="center" vertical="center"/>
    </xf>
    <xf numFmtId="164" fontId="2" fillId="2" borderId="50" xfId="0" applyNumberFormat="1" applyFont="1" applyFill="1" applyBorder="1" applyAlignment="1">
      <alignment horizontal="center" vertical="center" wrapText="1"/>
    </xf>
    <xf numFmtId="164" fontId="2" fillId="2" borderId="51" xfId="0" applyNumberFormat="1" applyFont="1" applyFill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4" fillId="2" borderId="1" xfId="0" applyNumberFormat="1" applyFont="1" applyFill="1" applyBorder="1" applyAlignment="1">
      <alignment horizontal="center" wrapText="1"/>
    </xf>
  </cellXfs>
  <cellStyles count="2">
    <cellStyle name="Normal" xfId="0" builtinId="0"/>
    <cellStyle name="Pourcentage" xfId="1" builtinId="5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15"/>
  <sheetViews>
    <sheetView tabSelected="1" workbookViewId="0">
      <selection activeCell="E25" sqref="E25"/>
    </sheetView>
  </sheetViews>
  <sheetFormatPr baseColWidth="10" defaultRowHeight="14.4"/>
  <cols>
    <col min="3" max="3" width="60.109375" customWidth="1"/>
    <col min="4" max="4" width="36.21875" customWidth="1"/>
    <col min="5" max="5" width="31.44140625" customWidth="1"/>
    <col min="6" max="6" width="28.44140625" customWidth="1"/>
    <col min="7" max="7" width="25.77734375" customWidth="1"/>
    <col min="9" max="9" width="21.88671875" customWidth="1"/>
    <col min="10" max="10" width="22.44140625" customWidth="1"/>
    <col min="12" max="12" width="24.44140625" customWidth="1"/>
    <col min="21" max="21" width="20.44140625" customWidth="1"/>
    <col min="22" max="22" width="20.21875" customWidth="1"/>
    <col min="29" max="29" width="33.6640625" customWidth="1"/>
    <col min="30" max="30" width="17.77734375" customWidth="1"/>
    <col min="31" max="31" width="20.33203125" customWidth="1"/>
    <col min="32" max="33" width="14.77734375" customWidth="1"/>
  </cols>
  <sheetData>
    <row r="1" spans="1:138" ht="38.25" customHeight="1" thickTop="1" thickBot="1">
      <c r="A1" s="94">
        <v>1</v>
      </c>
      <c r="B1" s="95">
        <v>2</v>
      </c>
      <c r="C1" s="94">
        <v>3</v>
      </c>
      <c r="D1" s="95">
        <v>4</v>
      </c>
      <c r="E1" s="94">
        <v>5</v>
      </c>
      <c r="F1" s="95">
        <v>6</v>
      </c>
      <c r="G1" s="94">
        <v>7</v>
      </c>
      <c r="H1" s="95">
        <v>8</v>
      </c>
      <c r="I1" s="94">
        <v>9</v>
      </c>
      <c r="J1" s="95">
        <v>10</v>
      </c>
      <c r="K1" s="94">
        <v>11</v>
      </c>
      <c r="L1" s="95">
        <v>12</v>
      </c>
      <c r="M1" s="94">
        <v>13</v>
      </c>
      <c r="N1" s="95">
        <v>14</v>
      </c>
      <c r="O1" s="94">
        <v>15</v>
      </c>
      <c r="P1" s="95">
        <v>16</v>
      </c>
      <c r="Q1" s="94">
        <v>17</v>
      </c>
      <c r="R1" s="95">
        <v>18</v>
      </c>
      <c r="S1" s="94">
        <v>19</v>
      </c>
      <c r="T1" s="95">
        <v>20</v>
      </c>
      <c r="U1" s="94">
        <v>21</v>
      </c>
      <c r="V1" s="95">
        <v>22</v>
      </c>
      <c r="W1" s="95">
        <v>23</v>
      </c>
      <c r="X1" s="95">
        <v>24</v>
      </c>
      <c r="Y1" s="94">
        <v>25</v>
      </c>
      <c r="Z1" s="95">
        <v>26</v>
      </c>
      <c r="AA1" s="94">
        <v>27</v>
      </c>
      <c r="AB1" s="95">
        <v>28</v>
      </c>
      <c r="AC1" s="94">
        <v>29</v>
      </c>
      <c r="AD1" s="95">
        <v>30</v>
      </c>
      <c r="AE1" s="94">
        <v>31</v>
      </c>
      <c r="AF1" s="95">
        <v>32</v>
      </c>
      <c r="AG1" s="94">
        <v>33</v>
      </c>
      <c r="AH1" s="95">
        <v>34</v>
      </c>
      <c r="AI1" s="94">
        <v>35</v>
      </c>
      <c r="AJ1" s="95">
        <v>36</v>
      </c>
      <c r="AK1" s="94">
        <v>37</v>
      </c>
      <c r="AL1" s="95">
        <v>38</v>
      </c>
      <c r="AM1" s="94">
        <v>39</v>
      </c>
      <c r="AN1" s="95">
        <v>40</v>
      </c>
      <c r="AO1" s="94">
        <v>41</v>
      </c>
      <c r="AP1" s="95">
        <v>42</v>
      </c>
      <c r="AQ1" s="94">
        <v>43</v>
      </c>
      <c r="AR1" s="95">
        <v>44</v>
      </c>
      <c r="AS1" s="96">
        <v>45</v>
      </c>
      <c r="AT1" s="97">
        <v>46</v>
      </c>
      <c r="AU1" s="96">
        <v>47</v>
      </c>
      <c r="AV1" s="97">
        <v>48</v>
      </c>
      <c r="AW1" s="94">
        <v>49</v>
      </c>
      <c r="AX1" s="95">
        <v>50</v>
      </c>
      <c r="AY1" s="94">
        <v>51</v>
      </c>
      <c r="AZ1" s="95">
        <v>52</v>
      </c>
      <c r="BA1" s="94">
        <v>53</v>
      </c>
      <c r="BB1" s="95">
        <v>54</v>
      </c>
      <c r="BC1" s="94">
        <v>55</v>
      </c>
      <c r="BD1" s="95">
        <v>56</v>
      </c>
      <c r="BE1" s="94">
        <v>57</v>
      </c>
      <c r="BF1" s="95">
        <v>58</v>
      </c>
      <c r="BG1" s="94">
        <v>59</v>
      </c>
      <c r="BH1" s="95">
        <v>60</v>
      </c>
      <c r="BI1" s="94">
        <v>61</v>
      </c>
      <c r="BJ1" s="95">
        <v>62</v>
      </c>
      <c r="BK1" s="94">
        <v>63</v>
      </c>
      <c r="BL1" s="95">
        <v>64</v>
      </c>
      <c r="BM1" s="94">
        <v>65</v>
      </c>
      <c r="BN1" s="95">
        <v>66</v>
      </c>
      <c r="BO1" s="94">
        <v>67</v>
      </c>
      <c r="BP1" s="95">
        <v>68</v>
      </c>
      <c r="BQ1" s="94">
        <v>69</v>
      </c>
      <c r="BR1" s="95">
        <v>70</v>
      </c>
      <c r="BS1" s="94">
        <v>71</v>
      </c>
      <c r="BT1" s="95">
        <v>72</v>
      </c>
      <c r="BU1" s="94">
        <v>73</v>
      </c>
      <c r="BV1" s="95">
        <v>74</v>
      </c>
      <c r="BW1" s="94">
        <v>75</v>
      </c>
      <c r="BX1" s="95">
        <v>76</v>
      </c>
      <c r="BY1" s="94">
        <v>77</v>
      </c>
      <c r="BZ1" s="95">
        <v>78</v>
      </c>
      <c r="CA1" s="94">
        <v>79</v>
      </c>
      <c r="CB1" s="95">
        <v>80</v>
      </c>
      <c r="CC1" s="94">
        <v>81</v>
      </c>
      <c r="CD1" s="95">
        <v>82</v>
      </c>
      <c r="CE1" s="94">
        <v>83</v>
      </c>
      <c r="CF1" s="95">
        <v>84</v>
      </c>
      <c r="CG1" s="94">
        <v>85</v>
      </c>
      <c r="CH1" s="95">
        <v>86</v>
      </c>
      <c r="CI1" s="94">
        <v>87</v>
      </c>
      <c r="CJ1" s="95">
        <v>88</v>
      </c>
      <c r="CK1" s="98" t="s">
        <v>70</v>
      </c>
      <c r="CL1" s="99"/>
      <c r="CM1" s="99"/>
      <c r="CN1" s="99"/>
      <c r="CO1" s="100"/>
      <c r="CP1" s="100"/>
      <c r="CQ1" s="100"/>
      <c r="CR1" s="100"/>
      <c r="CS1" s="100"/>
      <c r="CT1" s="101" t="e">
        <f>#REF!</f>
        <v>#REF!</v>
      </c>
      <c r="CU1" s="101"/>
      <c r="CV1" s="101"/>
      <c r="CW1" s="101"/>
      <c r="CX1" s="101"/>
      <c r="CY1" s="102"/>
      <c r="CZ1" s="103"/>
      <c r="DA1" s="103"/>
      <c r="DB1" s="98" t="s">
        <v>71</v>
      </c>
      <c r="DC1" s="99"/>
      <c r="DD1" s="99"/>
      <c r="DE1" s="99"/>
      <c r="DF1" s="100"/>
      <c r="DG1" s="100"/>
      <c r="DH1" s="100"/>
      <c r="DI1" s="100"/>
      <c r="DJ1" s="100"/>
      <c r="DK1" s="101" t="e">
        <f>#REF!</f>
        <v>#REF!</v>
      </c>
      <c r="DL1" s="101"/>
      <c r="DM1" s="101"/>
      <c r="DN1" s="101"/>
      <c r="DO1" s="102"/>
      <c r="DP1" s="95">
        <v>120</v>
      </c>
      <c r="DQ1" s="94">
        <v>121</v>
      </c>
      <c r="DR1" s="95">
        <v>122</v>
      </c>
      <c r="DS1" s="94">
        <v>123</v>
      </c>
      <c r="DT1" s="95">
        <v>124</v>
      </c>
      <c r="DU1" s="94">
        <v>125</v>
      </c>
      <c r="DV1" s="95">
        <v>126</v>
      </c>
      <c r="DW1" s="94">
        <v>127</v>
      </c>
      <c r="DX1" s="95">
        <v>128</v>
      </c>
      <c r="DY1" s="94">
        <v>129</v>
      </c>
      <c r="DZ1" s="95">
        <v>130</v>
      </c>
      <c r="EA1" s="94">
        <v>131</v>
      </c>
      <c r="EB1" s="95">
        <v>132</v>
      </c>
      <c r="EC1" s="94">
        <v>133</v>
      </c>
      <c r="ED1" s="95">
        <v>134</v>
      </c>
      <c r="EE1" s="94">
        <v>135</v>
      </c>
      <c r="EF1" s="95">
        <v>136</v>
      </c>
      <c r="EG1" s="94">
        <v>137</v>
      </c>
    </row>
    <row r="2" spans="1:138" ht="19.2" customHeight="1" thickTop="1" thickBot="1">
      <c r="A2" s="104" t="s">
        <v>72</v>
      </c>
      <c r="B2" s="105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6"/>
      <c r="R2" s="107"/>
      <c r="S2" s="108"/>
      <c r="T2" s="108"/>
      <c r="U2" s="108"/>
      <c r="V2" s="108"/>
      <c r="W2" s="106"/>
      <c r="X2" s="106"/>
      <c r="Y2" s="103"/>
      <c r="AA2" s="109"/>
      <c r="AB2" s="104"/>
      <c r="AC2" s="104"/>
      <c r="AD2" s="110">
        <f>BP50</f>
        <v>0</v>
      </c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11" t="s">
        <v>73</v>
      </c>
      <c r="AX2" s="112"/>
      <c r="AY2" s="112"/>
      <c r="AZ2" s="112"/>
      <c r="BA2" s="112"/>
      <c r="BB2" s="112"/>
      <c r="BC2" s="112"/>
      <c r="BD2" s="112"/>
      <c r="BE2" s="113"/>
      <c r="BF2" s="114" t="s">
        <v>74</v>
      </c>
      <c r="BG2" s="115"/>
      <c r="BH2" s="115"/>
      <c r="BI2" s="115"/>
      <c r="BJ2" s="115"/>
      <c r="BK2" s="115"/>
      <c r="BL2" s="115"/>
      <c r="BM2" s="115"/>
      <c r="BN2" s="116"/>
      <c r="BO2" s="104"/>
      <c r="BP2" s="104"/>
      <c r="BQ2" s="104"/>
      <c r="BR2" s="117"/>
      <c r="BS2" s="117"/>
      <c r="BT2" s="117"/>
      <c r="BU2" s="118" t="s">
        <v>75</v>
      </c>
      <c r="BV2" s="99"/>
      <c r="BW2" s="99"/>
      <c r="BX2" s="99"/>
      <c r="BY2" s="99"/>
      <c r="BZ2" s="99"/>
      <c r="CA2" s="99"/>
      <c r="CB2" s="99"/>
      <c r="CC2" s="100"/>
      <c r="CD2" s="101" t="e">
        <f>#REF!</f>
        <v>#REF!</v>
      </c>
      <c r="CE2" s="119"/>
      <c r="CF2" s="119"/>
      <c r="CG2" s="119"/>
      <c r="CH2" s="120"/>
      <c r="CI2" s="121"/>
      <c r="CJ2" s="121"/>
      <c r="CK2" s="122"/>
      <c r="CL2" s="103"/>
      <c r="CM2" s="103"/>
      <c r="CN2" s="103"/>
      <c r="CO2" s="123" t="s">
        <v>76</v>
      </c>
      <c r="CP2" s="124"/>
      <c r="CQ2" s="124"/>
      <c r="CR2" s="124"/>
      <c r="CS2" s="125"/>
      <c r="CT2" s="124" t="s">
        <v>77</v>
      </c>
      <c r="CU2" s="124"/>
      <c r="CV2" s="124"/>
      <c r="CW2" s="124"/>
      <c r="CX2" s="124"/>
      <c r="CY2" s="126"/>
      <c r="CZ2" s="121"/>
      <c r="DA2" s="121"/>
      <c r="DB2" s="122"/>
      <c r="DC2" s="103"/>
      <c r="DD2" s="103"/>
      <c r="DE2" s="103"/>
      <c r="DF2" s="127" t="s">
        <v>76</v>
      </c>
      <c r="DG2" s="128"/>
      <c r="DH2" s="128"/>
      <c r="DI2" s="128"/>
      <c r="DJ2" s="129"/>
      <c r="DK2" s="128" t="s">
        <v>77</v>
      </c>
      <c r="DL2" s="128"/>
      <c r="DM2" s="128"/>
      <c r="DN2" s="128"/>
      <c r="DO2" s="126"/>
      <c r="DP2" s="130"/>
      <c r="DQ2" s="130"/>
      <c r="DR2" s="131" t="s">
        <v>78</v>
      </c>
      <c r="DS2" s="100"/>
      <c r="DT2" s="132"/>
      <c r="DU2" s="100"/>
      <c r="DV2" s="100"/>
      <c r="DW2" s="100"/>
      <c r="DX2" s="100"/>
      <c r="DY2" s="100"/>
      <c r="DZ2" s="100"/>
      <c r="EA2" s="100"/>
      <c r="EB2" s="133" t="e">
        <f>#REF!</f>
        <v>#REF!</v>
      </c>
      <c r="EC2" s="133"/>
      <c r="ED2" s="133"/>
      <c r="EE2" s="133"/>
      <c r="EF2" s="133"/>
      <c r="EG2" s="134"/>
    </row>
    <row r="3" spans="1:138" ht="33" customHeight="1" thickTop="1" thickBot="1">
      <c r="A3" s="135" t="s">
        <v>79</v>
      </c>
      <c r="B3" s="136" t="s">
        <v>80</v>
      </c>
      <c r="C3" s="137" t="s">
        <v>81</v>
      </c>
      <c r="D3" s="137" t="s">
        <v>82</v>
      </c>
      <c r="E3" s="137" t="s">
        <v>83</v>
      </c>
      <c r="F3" s="137" t="s">
        <v>84</v>
      </c>
      <c r="G3" s="137" t="s">
        <v>85</v>
      </c>
      <c r="H3" s="137" t="s">
        <v>86</v>
      </c>
      <c r="I3" s="138" t="s">
        <v>87</v>
      </c>
      <c r="J3" s="137" t="s">
        <v>88</v>
      </c>
      <c r="K3" s="137" t="s">
        <v>89</v>
      </c>
      <c r="L3" s="137" t="s">
        <v>90</v>
      </c>
      <c r="M3" s="137" t="s">
        <v>91</v>
      </c>
      <c r="N3" s="137" t="s">
        <v>92</v>
      </c>
      <c r="O3" s="137" t="s">
        <v>93</v>
      </c>
      <c r="P3" s="137" t="s">
        <v>94</v>
      </c>
      <c r="Q3" s="139" t="s">
        <v>95</v>
      </c>
      <c r="R3" s="140" t="s">
        <v>96</v>
      </c>
      <c r="S3" s="141" t="s">
        <v>97</v>
      </c>
      <c r="T3" s="142" t="s">
        <v>98</v>
      </c>
      <c r="U3" s="143" t="s">
        <v>99</v>
      </c>
      <c r="V3" s="143" t="s">
        <v>100</v>
      </c>
      <c r="W3" s="144" t="s">
        <v>101</v>
      </c>
      <c r="X3" s="144" t="s">
        <v>102</v>
      </c>
      <c r="Y3" s="145" t="s">
        <v>103</v>
      </c>
      <c r="Z3" s="16">
        <v>2022</v>
      </c>
      <c r="AA3" s="146" t="s">
        <v>104</v>
      </c>
      <c r="AB3" s="145" t="s">
        <v>105</v>
      </c>
      <c r="AC3" s="147" t="s">
        <v>106</v>
      </c>
      <c r="AD3" s="148" t="s">
        <v>107</v>
      </c>
      <c r="AE3" s="149" t="s">
        <v>108</v>
      </c>
      <c r="AF3" s="150" t="s">
        <v>109</v>
      </c>
      <c r="AG3" s="151" t="s">
        <v>110</v>
      </c>
      <c r="AH3" s="147" t="s">
        <v>111</v>
      </c>
      <c r="AI3" s="147" t="s">
        <v>112</v>
      </c>
      <c r="AJ3" s="147"/>
      <c r="AK3" s="147"/>
      <c r="AL3" s="147"/>
      <c r="AM3" s="147"/>
      <c r="AN3" s="147"/>
      <c r="AO3" s="148"/>
      <c r="AP3" s="152" t="s">
        <v>113</v>
      </c>
      <c r="AQ3" s="153" t="s">
        <v>114</v>
      </c>
      <c r="AR3" s="154" t="s">
        <v>115</v>
      </c>
      <c r="AS3" s="155" t="s">
        <v>116</v>
      </c>
      <c r="AT3" s="155" t="s">
        <v>117</v>
      </c>
      <c r="AU3" s="156" t="s">
        <v>118</v>
      </c>
      <c r="AV3" s="157" t="s">
        <v>119</v>
      </c>
      <c r="AW3" s="158" t="s">
        <v>120</v>
      </c>
      <c r="AX3" s="159" t="s">
        <v>121</v>
      </c>
      <c r="AY3" s="159" t="s">
        <v>122</v>
      </c>
      <c r="AZ3" s="159" t="s">
        <v>123</v>
      </c>
      <c r="BA3" s="160" t="s">
        <v>124</v>
      </c>
      <c r="BB3" s="159" t="s">
        <v>125</v>
      </c>
      <c r="BC3" s="159" t="s">
        <v>126</v>
      </c>
      <c r="BD3" s="159" t="s">
        <v>127</v>
      </c>
      <c r="BE3" s="161" t="s">
        <v>128</v>
      </c>
      <c r="BF3" s="162" t="s">
        <v>120</v>
      </c>
      <c r="BG3" s="163" t="s">
        <v>121</v>
      </c>
      <c r="BH3" s="163" t="s">
        <v>122</v>
      </c>
      <c r="BI3" s="163" t="s">
        <v>123</v>
      </c>
      <c r="BJ3" s="160" t="s">
        <v>129</v>
      </c>
      <c r="BK3" s="163" t="s">
        <v>125</v>
      </c>
      <c r="BL3" s="163" t="s">
        <v>126</v>
      </c>
      <c r="BM3" s="163" t="s">
        <v>127</v>
      </c>
      <c r="BN3" s="164" t="s">
        <v>130</v>
      </c>
      <c r="BO3" s="165" t="s">
        <v>131</v>
      </c>
      <c r="BP3" s="166" t="s">
        <v>132</v>
      </c>
      <c r="BQ3" s="166" t="s">
        <v>133</v>
      </c>
      <c r="BR3" s="167"/>
      <c r="BS3" s="167"/>
      <c r="BT3" s="168"/>
      <c r="BU3" s="169" t="s">
        <v>79</v>
      </c>
      <c r="BV3" s="170" t="s">
        <v>80</v>
      </c>
      <c r="BW3" s="170" t="s">
        <v>81</v>
      </c>
      <c r="BX3" s="171" t="s">
        <v>83</v>
      </c>
      <c r="BY3" s="172" t="str">
        <f>U3</f>
        <v>Date Month start</v>
      </c>
      <c r="BZ3" s="170" t="str">
        <f>V3</f>
        <v>Date month end</v>
      </c>
      <c r="CA3" s="170" t="str">
        <f>W3</f>
        <v>Working days month</v>
      </c>
      <c r="CB3" s="173" t="str">
        <f>X3</f>
        <v>Days work</v>
      </c>
      <c r="CC3" s="174" t="str">
        <f>AE3</f>
        <v>Total taxable</v>
      </c>
      <c r="CD3" s="175" t="str">
        <f>AP3</f>
        <v>Total bonus</v>
      </c>
      <c r="CE3" s="172" t="str">
        <f>BO3</f>
        <v>G. Total Taxe/ impôt</v>
      </c>
      <c r="CF3" s="170" t="str">
        <f>BP3</f>
        <v>G. Total CNPS</v>
      </c>
      <c r="CG3" s="170" t="str">
        <f>BQ3</f>
        <v>Total contribution</v>
      </c>
      <c r="CH3" s="176" t="str">
        <f>AQ3</f>
        <v xml:space="preserve">Total brut Salary </v>
      </c>
      <c r="CI3" s="177"/>
      <c r="CJ3" s="178"/>
      <c r="CK3" s="169" t="str">
        <f>BU3</f>
        <v>N°</v>
      </c>
      <c r="CL3" s="179" t="str">
        <f>BV3</f>
        <v>Civilité</v>
      </c>
      <c r="CM3" s="179" t="str">
        <f>BW3</f>
        <v>Teachers name /
 NOMS DES ENSEIGNANTS</v>
      </c>
      <c r="CN3" s="180" t="str">
        <f>BX3</f>
        <v>Affectations 
Duty post</v>
      </c>
      <c r="CO3" s="181" t="str">
        <f>AW3</f>
        <v>IRPP (Impôt)</v>
      </c>
      <c r="CP3" s="172" t="str">
        <f>AX3</f>
        <v>Taxe de dév local (Impôt)</v>
      </c>
      <c r="CQ3" s="172" t="str">
        <f>AY3</f>
        <v>Credit Foncier du C (Impôt)</v>
      </c>
      <c r="CR3" s="172" t="str">
        <f>AZ3</f>
        <v>Fond National Emploi (Impôt)</v>
      </c>
      <c r="CS3" s="182" t="str">
        <f>BA3</f>
        <v>Total impôt Salariale</v>
      </c>
      <c r="CT3" s="172" t="str">
        <f>BF3</f>
        <v>IRPP (Impôt)</v>
      </c>
      <c r="CU3" s="170" t="str">
        <f>BG3</f>
        <v>Taxe de dév local (Impôt)</v>
      </c>
      <c r="CV3" s="170" t="str">
        <f>BH3</f>
        <v>Credit Foncier du C (Impôt)</v>
      </c>
      <c r="CW3" s="170" t="str">
        <f>BI3</f>
        <v>Fond National Emploi (Impôt)</v>
      </c>
      <c r="CX3" s="173" t="str">
        <f>BJ3</f>
        <v>Total impôt patronale</v>
      </c>
      <c r="CY3" s="183" t="str">
        <f>BO3</f>
        <v>G. Total Taxe/ impôt</v>
      </c>
      <c r="CZ3" s="177"/>
      <c r="DA3" s="178"/>
      <c r="DB3" s="169" t="str">
        <f>CK3</f>
        <v>N°</v>
      </c>
      <c r="DC3" s="184" t="str">
        <f>CL3</f>
        <v>Civilité</v>
      </c>
      <c r="DD3" s="179" t="str">
        <f>CM3</f>
        <v>Teachers name /
 NOMS DES ENSEIGNANTS</v>
      </c>
      <c r="DE3" s="180" t="str">
        <f>CN3</f>
        <v>Affectations 
Duty post</v>
      </c>
      <c r="DF3" s="158" t="str">
        <f>BA3</f>
        <v>Total impôt Salariale</v>
      </c>
      <c r="DG3" s="159" t="str">
        <f>BB3</f>
        <v>CNPS Pension vieillesse</v>
      </c>
      <c r="DH3" s="159" t="str">
        <f>BC3</f>
        <v>CNPS Allocation familiale</v>
      </c>
      <c r="DI3" s="159" t="str">
        <f>BD3</f>
        <v>CNPS Accident de travail</v>
      </c>
      <c r="DJ3" s="185" t="str">
        <f>BE3</f>
        <v>Total CNPS salariale</v>
      </c>
      <c r="DK3" s="186" t="str">
        <f>BK3</f>
        <v>CNPS Pension vieillesse</v>
      </c>
      <c r="DL3" s="159" t="str">
        <f>BL3</f>
        <v>CNPS Allocation familiale</v>
      </c>
      <c r="DM3" s="159" t="str">
        <f>BM3</f>
        <v>CNPS Accident de travail</v>
      </c>
      <c r="DN3" s="159" t="str">
        <f>BN3</f>
        <v>Total CNPS patronale</v>
      </c>
      <c r="DO3" s="185" t="str">
        <f>BP3</f>
        <v>G. Total CNPS</v>
      </c>
      <c r="DP3" s="187"/>
      <c r="DQ3" s="187"/>
      <c r="DR3" s="188" t="str">
        <f>BU3</f>
        <v>N°</v>
      </c>
      <c r="DS3" s="189" t="str">
        <f t="shared" ref="DS3:DY3" si="0">BV3</f>
        <v>Civilité</v>
      </c>
      <c r="DT3" s="189" t="str">
        <f t="shared" si="0"/>
        <v>Teachers name /
 NOMS DES ENSEIGNANTS</v>
      </c>
      <c r="DU3" s="190" t="str">
        <f t="shared" si="0"/>
        <v>Affectations 
Duty post</v>
      </c>
      <c r="DV3" s="191" t="str">
        <f t="shared" si="0"/>
        <v>Date Month start</v>
      </c>
      <c r="DW3" s="192" t="str">
        <f t="shared" si="0"/>
        <v>Date month end</v>
      </c>
      <c r="DX3" s="192" t="str">
        <f t="shared" si="0"/>
        <v>Working days month</v>
      </c>
      <c r="DY3" s="192" t="str">
        <f t="shared" si="0"/>
        <v>Days work</v>
      </c>
      <c r="DZ3" s="192" t="s">
        <v>134</v>
      </c>
      <c r="EA3" s="192" t="s">
        <v>135</v>
      </c>
      <c r="EB3" s="159" t="s">
        <v>136</v>
      </c>
      <c r="EC3" s="159" t="s">
        <v>137</v>
      </c>
      <c r="ED3" s="159" t="s">
        <v>138</v>
      </c>
      <c r="EE3" s="159" t="s">
        <v>139</v>
      </c>
      <c r="EF3" s="193" t="s">
        <v>140</v>
      </c>
      <c r="EG3" s="194" t="s">
        <v>141</v>
      </c>
    </row>
    <row r="4" spans="1:138" s="228" customFormat="1" ht="22.5" customHeight="1">
      <c r="A4" s="195"/>
      <c r="B4" s="196"/>
      <c r="C4" s="197"/>
      <c r="D4" s="197"/>
      <c r="E4" s="197"/>
      <c r="F4" s="197"/>
      <c r="G4" s="197"/>
      <c r="H4" s="197"/>
      <c r="I4" s="198"/>
      <c r="J4" s="197"/>
      <c r="K4" s="197"/>
      <c r="L4" s="197"/>
      <c r="M4" s="197"/>
      <c r="N4" s="197"/>
      <c r="O4" s="197"/>
      <c r="P4" s="197"/>
      <c r="Q4" s="199"/>
      <c r="R4" s="200"/>
      <c r="S4" s="201"/>
      <c r="T4" s="202"/>
      <c r="U4" s="203">
        <v>45383</v>
      </c>
      <c r="V4" s="203" t="s">
        <v>142</v>
      </c>
      <c r="W4" s="204">
        <v>22</v>
      </c>
      <c r="X4" s="204">
        <v>22</v>
      </c>
      <c r="Y4" s="104" t="s">
        <v>143</v>
      </c>
      <c r="Z4" s="204"/>
      <c r="AA4" s="205"/>
      <c r="AB4" s="206"/>
      <c r="AC4" s="206"/>
      <c r="AD4" s="207"/>
      <c r="AE4" s="208"/>
      <c r="AF4" s="209"/>
      <c r="AG4" s="206"/>
      <c r="AH4" s="210"/>
      <c r="AI4" s="210"/>
      <c r="AJ4" s="210"/>
      <c r="AK4" s="210"/>
      <c r="AL4" s="210"/>
      <c r="AM4" s="210"/>
      <c r="AN4" s="210"/>
      <c r="AO4" s="211"/>
      <c r="AP4" s="212"/>
      <c r="AQ4" s="208"/>
      <c r="AR4" s="213"/>
      <c r="AS4" s="214"/>
      <c r="AT4" s="214"/>
      <c r="AU4" s="215"/>
      <c r="AV4" s="216"/>
      <c r="AW4" s="217"/>
      <c r="AX4" s="218">
        <v>3.8E-3</v>
      </c>
      <c r="AY4" s="218">
        <v>0.01</v>
      </c>
      <c r="AZ4" s="218"/>
      <c r="BA4" s="219">
        <f>SUM(AW4:AZ4)</f>
        <v>1.38E-2</v>
      </c>
      <c r="BB4" s="218">
        <v>4.2000000000000003E-2</v>
      </c>
      <c r="BC4" s="218"/>
      <c r="BD4" s="218"/>
      <c r="BE4" s="220">
        <f>SUM(BB4:BD4)</f>
        <v>4.2000000000000003E-2</v>
      </c>
      <c r="BF4" s="221"/>
      <c r="BG4" s="222"/>
      <c r="BH4" s="222">
        <v>1.4999999999999999E-2</v>
      </c>
      <c r="BI4" s="222">
        <v>0.01</v>
      </c>
      <c r="BJ4" s="219">
        <f>SUM(BF4:BI4)</f>
        <v>2.5000000000000001E-2</v>
      </c>
      <c r="BK4" s="222">
        <v>4.2000000000000003E-2</v>
      </c>
      <c r="BL4" s="222">
        <v>7.0000000000000007E-2</v>
      </c>
      <c r="BM4" s="222">
        <v>1.7500000000000002E-2</v>
      </c>
      <c r="BN4" s="220">
        <f>SUM(BK4:BM4)</f>
        <v>0.1295</v>
      </c>
      <c r="BO4" s="223">
        <f>BJ4+BA4</f>
        <v>3.8800000000000001E-2</v>
      </c>
      <c r="BP4" s="224">
        <f>BN4+BE4</f>
        <v>0.17150000000000001</v>
      </c>
      <c r="BQ4" s="224">
        <f>SUM(BO4:BP4)</f>
        <v>0.21030000000000001</v>
      </c>
      <c r="BR4" s="225"/>
      <c r="BS4" s="225"/>
      <c r="BT4" s="226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227"/>
      <c r="DJ4" s="227"/>
      <c r="DK4" s="227"/>
      <c r="DL4" s="227"/>
      <c r="DM4" s="227"/>
      <c r="DN4" s="227"/>
      <c r="DO4" s="227"/>
      <c r="DP4" s="227"/>
      <c r="DQ4" s="227"/>
      <c r="DR4" s="227"/>
      <c r="DS4" s="227"/>
      <c r="DT4" s="227"/>
      <c r="DU4" s="227"/>
      <c r="DV4" s="227"/>
      <c r="DW4" s="227"/>
      <c r="DX4" s="227"/>
      <c r="DY4" s="227"/>
      <c r="DZ4" s="227"/>
      <c r="EA4" s="227"/>
      <c r="EB4" s="227"/>
      <c r="EC4" s="227"/>
      <c r="ED4" s="227"/>
      <c r="EE4" s="227"/>
      <c r="EF4" s="227"/>
      <c r="EG4" s="227"/>
    </row>
    <row r="6" spans="1:138" ht="19.2" customHeight="1">
      <c r="A6" s="1">
        <v>2</v>
      </c>
      <c r="B6" s="2" t="s">
        <v>0</v>
      </c>
      <c r="C6" s="1" t="s">
        <v>1</v>
      </c>
      <c r="D6" s="1" t="s">
        <v>2</v>
      </c>
      <c r="E6" s="1" t="s">
        <v>3</v>
      </c>
      <c r="F6" s="1"/>
      <c r="G6" s="1" t="s">
        <v>4</v>
      </c>
      <c r="H6" s="1" t="s">
        <v>5</v>
      </c>
      <c r="I6" s="3">
        <v>34759</v>
      </c>
      <c r="J6" s="3">
        <v>44470</v>
      </c>
      <c r="K6" s="3"/>
      <c r="L6" s="3">
        <v>56674</v>
      </c>
      <c r="M6" s="3" t="s">
        <v>6</v>
      </c>
      <c r="N6" s="3" t="s">
        <v>7</v>
      </c>
      <c r="O6" s="4"/>
      <c r="P6" s="4">
        <v>681099780</v>
      </c>
      <c r="Q6" s="3" t="s">
        <v>8</v>
      </c>
      <c r="R6" s="5">
        <v>1</v>
      </c>
      <c r="S6" s="3"/>
      <c r="T6" s="6" t="s">
        <v>9</v>
      </c>
      <c r="U6" s="7">
        <f t="shared" ref="U6:X15" si="1">U5</f>
        <v>0</v>
      </c>
      <c r="V6" s="7">
        <f t="shared" si="1"/>
        <v>0</v>
      </c>
      <c r="W6" s="8">
        <f t="shared" si="1"/>
        <v>0</v>
      </c>
      <c r="X6" s="8">
        <f t="shared" si="1"/>
        <v>0</v>
      </c>
      <c r="Y6" s="9"/>
      <c r="Z6" s="10"/>
      <c r="AA6" s="11">
        <v>2.1614227086183311</v>
      </c>
      <c r="AB6" s="10"/>
      <c r="AC6" s="10">
        <v>38000</v>
      </c>
      <c r="AD6" s="12">
        <v>2000</v>
      </c>
      <c r="AE6" s="13">
        <f t="shared" ref="AE6:AE15" si="2">AC6+AD6</f>
        <v>40000</v>
      </c>
      <c r="AF6" s="14">
        <v>2500</v>
      </c>
      <c r="AG6" s="10">
        <v>2500</v>
      </c>
      <c r="AH6" s="10"/>
      <c r="AI6" s="10"/>
      <c r="AJ6" s="10"/>
      <c r="AK6" s="10"/>
      <c r="AL6" s="10"/>
      <c r="AM6" s="10"/>
      <c r="AN6" s="10"/>
      <c r="AO6" s="12"/>
      <c r="AP6" s="14">
        <f t="shared" ref="AP6:AP15" si="3">SUM(AF6:AO6)</f>
        <v>5000</v>
      </c>
      <c r="AQ6" s="10">
        <f t="shared" ref="AQ6:AQ15" si="4">AP6+AE6</f>
        <v>45000</v>
      </c>
      <c r="AR6" s="12"/>
      <c r="AS6" s="15"/>
      <c r="AT6" s="16"/>
      <c r="AU6" s="16"/>
      <c r="AV6" s="10"/>
      <c r="AW6" s="10"/>
      <c r="AX6" s="10">
        <f ca="1">AE6*AX$8</f>
        <v>152</v>
      </c>
      <c r="AY6" s="10">
        <f ca="1">AE6*AY$8</f>
        <v>400</v>
      </c>
      <c r="AZ6" s="10">
        <f ca="1">AE6*AZ$8</f>
        <v>0</v>
      </c>
      <c r="BA6" s="10">
        <f t="shared" ref="BA6:BA15" ca="1" si="5">SUM(AW6:AZ6)</f>
        <v>552</v>
      </c>
      <c r="BB6" s="10">
        <f ca="1">AE6*BB$8</f>
        <v>1680</v>
      </c>
      <c r="BC6" s="10">
        <f ca="1">AE6*BC$8</f>
        <v>0</v>
      </c>
      <c r="BD6" s="10">
        <f ca="1">AE6*BD$8</f>
        <v>0</v>
      </c>
      <c r="BE6" s="10">
        <f t="shared" ref="BE6:BE15" ca="1" si="6">SUM(BB6:BD6)</f>
        <v>1680</v>
      </c>
      <c r="BF6" s="10">
        <f ca="1">AE6*BF$8</f>
        <v>0</v>
      </c>
      <c r="BG6" s="10">
        <f ca="1">AE6*BG$8</f>
        <v>0</v>
      </c>
      <c r="BH6" s="10">
        <f ca="1">AE6*BH$8</f>
        <v>600</v>
      </c>
      <c r="BI6" s="10">
        <f ca="1">AE6*BI$8</f>
        <v>400</v>
      </c>
      <c r="BJ6" s="10">
        <f t="shared" ref="BJ6:BJ15" ca="1" si="7">SUM(BF6:BI6)</f>
        <v>1000</v>
      </c>
      <c r="BK6" s="10">
        <f ca="1">AE6*BK$8</f>
        <v>1680</v>
      </c>
      <c r="BL6" s="10">
        <f ca="1">AE6*BL$8</f>
        <v>2800.0000000000005</v>
      </c>
      <c r="BM6" s="10">
        <f ca="1">AE6*BM$8</f>
        <v>700.00000000000011</v>
      </c>
      <c r="BN6" s="10">
        <f t="shared" ref="BN6:BN15" ca="1" si="8">SUM(BK6:BM6)</f>
        <v>5180</v>
      </c>
      <c r="BO6" s="10">
        <f t="shared" ref="BO6:BO15" ca="1" si="9">BJ6+BA6</f>
        <v>1552</v>
      </c>
      <c r="BP6" s="10">
        <f t="shared" ref="BP6:BP15" ca="1" si="10">BN6+BE6</f>
        <v>6860</v>
      </c>
      <c r="BQ6" s="10">
        <f t="shared" ref="BQ6:BQ15" ca="1" si="11">SUM(BO6:BP6)</f>
        <v>8412</v>
      </c>
      <c r="BR6" s="10"/>
      <c r="BS6" s="10"/>
      <c r="BT6" s="17"/>
      <c r="BU6" s="18">
        <f t="shared" ref="BU6:BW15" si="12">A6</f>
        <v>2</v>
      </c>
      <c r="BV6" s="19" t="str">
        <f t="shared" si="12"/>
        <v>Mrs</v>
      </c>
      <c r="BW6" s="19" t="str">
        <f t="shared" si="12"/>
        <v>TAFON MIRADINE SHIEN</v>
      </c>
      <c r="BX6" s="20" t="str">
        <f t="shared" ref="BX6:BX15" si="13">E6</f>
        <v>BABY NURSERY</v>
      </c>
      <c r="BY6" s="21">
        <f t="shared" ref="BY6:CB15" si="14">U6</f>
        <v>0</v>
      </c>
      <c r="BZ6" s="21">
        <f t="shared" si="14"/>
        <v>0</v>
      </c>
      <c r="CA6" s="22">
        <f t="shared" si="14"/>
        <v>0</v>
      </c>
      <c r="CB6" s="23">
        <f t="shared" si="14"/>
        <v>0</v>
      </c>
      <c r="CC6" s="24">
        <f t="shared" ref="CC6:CC15" si="15">AE6</f>
        <v>40000</v>
      </c>
      <c r="CD6" s="25">
        <f t="shared" ref="CD6:CD15" si="16">AP6</f>
        <v>5000</v>
      </c>
      <c r="CE6" s="26">
        <f t="shared" ref="CE6:CG15" ca="1" si="17">BO6</f>
        <v>1552</v>
      </c>
      <c r="CF6" s="27">
        <f t="shared" ca="1" si="17"/>
        <v>6860</v>
      </c>
      <c r="CG6" s="27">
        <f t="shared" ca="1" si="17"/>
        <v>8412</v>
      </c>
      <c r="CH6" s="22">
        <f t="shared" ref="CH6:CH15" si="18">AQ6</f>
        <v>45000</v>
      </c>
      <c r="CI6" s="28"/>
      <c r="CJ6" s="29"/>
      <c r="CK6" s="18">
        <f t="shared" ref="CK6:CN15" si="19">BU6</f>
        <v>2</v>
      </c>
      <c r="CL6" s="19" t="str">
        <f t="shared" si="19"/>
        <v>Mrs</v>
      </c>
      <c r="CM6" s="19" t="str">
        <f t="shared" si="19"/>
        <v>TAFON MIRADINE SHIEN</v>
      </c>
      <c r="CN6" s="30" t="str">
        <f t="shared" si="19"/>
        <v>BABY NURSERY</v>
      </c>
      <c r="CO6" s="24">
        <f t="shared" ref="CO6:CS15" si="20">AW6</f>
        <v>0</v>
      </c>
      <c r="CP6" s="22">
        <f t="shared" ca="1" si="20"/>
        <v>152</v>
      </c>
      <c r="CQ6" s="22">
        <f t="shared" ca="1" si="20"/>
        <v>400</v>
      </c>
      <c r="CR6" s="22">
        <f t="shared" ca="1" si="20"/>
        <v>0</v>
      </c>
      <c r="CS6" s="31">
        <f t="shared" ca="1" si="20"/>
        <v>552</v>
      </c>
      <c r="CT6" s="26">
        <f t="shared" ref="CT6:CX15" ca="1" si="21">BF6</f>
        <v>0</v>
      </c>
      <c r="CU6" s="22">
        <f t="shared" ca="1" si="21"/>
        <v>0</v>
      </c>
      <c r="CV6" s="22">
        <f t="shared" ca="1" si="21"/>
        <v>600</v>
      </c>
      <c r="CW6" s="22">
        <f t="shared" ca="1" si="21"/>
        <v>400</v>
      </c>
      <c r="CX6" s="23">
        <f t="shared" ca="1" si="21"/>
        <v>1000</v>
      </c>
      <c r="CY6" s="32">
        <f t="shared" ref="CY6:CY15" ca="1" si="22">BO6</f>
        <v>1552</v>
      </c>
      <c r="CZ6" s="28"/>
      <c r="DA6" s="33"/>
      <c r="DB6" s="18">
        <f t="shared" ref="DB6:DE15" si="23">CK6</f>
        <v>2</v>
      </c>
      <c r="DC6" s="19" t="str">
        <f t="shared" si="23"/>
        <v>Mrs</v>
      </c>
      <c r="DD6" s="19" t="str">
        <f t="shared" si="23"/>
        <v>TAFON MIRADINE SHIEN</v>
      </c>
      <c r="DE6" s="30" t="str">
        <f t="shared" si="23"/>
        <v>BABY NURSERY</v>
      </c>
      <c r="DF6" s="34">
        <f t="shared" ref="DF6:DJ15" ca="1" si="24">BA6</f>
        <v>552</v>
      </c>
      <c r="DG6" s="19">
        <f t="shared" ca="1" si="24"/>
        <v>1680</v>
      </c>
      <c r="DH6" s="19">
        <f t="shared" ca="1" si="24"/>
        <v>0</v>
      </c>
      <c r="DI6" s="19">
        <f t="shared" ca="1" si="24"/>
        <v>0</v>
      </c>
      <c r="DJ6" s="35">
        <f t="shared" ca="1" si="24"/>
        <v>1680</v>
      </c>
      <c r="DK6" s="36">
        <f t="shared" ref="DK6:DN15" ca="1" si="25">BK6</f>
        <v>1680</v>
      </c>
      <c r="DL6" s="37">
        <f t="shared" ca="1" si="25"/>
        <v>2800.0000000000005</v>
      </c>
      <c r="DM6" s="37">
        <f t="shared" ca="1" si="25"/>
        <v>700.00000000000011</v>
      </c>
      <c r="DN6" s="37">
        <f t="shared" ca="1" si="25"/>
        <v>5180</v>
      </c>
      <c r="DO6" s="38">
        <f t="shared" ref="DO6:DO15" ca="1" si="26">BP6</f>
        <v>6860</v>
      </c>
      <c r="DP6" s="39"/>
      <c r="DQ6" s="39"/>
      <c r="DR6" s="40">
        <f t="shared" ref="DR6:DY15" si="27">BU6</f>
        <v>2</v>
      </c>
      <c r="DS6" s="19" t="str">
        <f t="shared" si="27"/>
        <v>Mrs</v>
      </c>
      <c r="DT6" s="19" t="str">
        <f t="shared" si="27"/>
        <v>TAFON MIRADINE SHIEN</v>
      </c>
      <c r="DU6" s="41" t="str">
        <f t="shared" si="27"/>
        <v>BABY NURSERY</v>
      </c>
      <c r="DV6" s="42">
        <f t="shared" si="27"/>
        <v>0</v>
      </c>
      <c r="DW6" s="43">
        <f t="shared" si="27"/>
        <v>0</v>
      </c>
      <c r="DX6" s="44">
        <f t="shared" ref="DX6:DX15" si="28">W6</f>
        <v>0</v>
      </c>
      <c r="DY6" s="44">
        <f t="shared" si="27"/>
        <v>0</v>
      </c>
      <c r="DZ6" s="45">
        <f t="shared" ref="DZ6:DZ15" si="29">AQ6</f>
        <v>45000</v>
      </c>
      <c r="EA6" s="46"/>
      <c r="EB6" s="45"/>
      <c r="EC6" s="45">
        <v>15000</v>
      </c>
      <c r="ED6" s="45">
        <v>3000</v>
      </c>
      <c r="EE6" s="45"/>
      <c r="EF6" s="45"/>
      <c r="EG6" s="19">
        <f t="shared" ref="EG6:EG15" si="30">DZ6-EB6-EC6-ED6-EE6-EF6</f>
        <v>27000</v>
      </c>
      <c r="EH6" s="47" t="str">
        <f t="shared" ref="EH6:EH15" si="31">DT6</f>
        <v>TAFON MIRADINE SHIEN</v>
      </c>
    </row>
    <row r="7" spans="1:138" ht="33" customHeight="1">
      <c r="A7" s="1">
        <v>3</v>
      </c>
      <c r="B7" s="2" t="s">
        <v>10</v>
      </c>
      <c r="C7" s="1" t="s">
        <v>11</v>
      </c>
      <c r="D7" s="1"/>
      <c r="E7" s="1" t="s">
        <v>12</v>
      </c>
      <c r="F7" s="1">
        <v>46205</v>
      </c>
      <c r="G7" s="1" t="s">
        <v>13</v>
      </c>
      <c r="H7" s="1" t="s">
        <v>14</v>
      </c>
      <c r="I7" s="3">
        <v>37565</v>
      </c>
      <c r="J7" s="3">
        <v>44844</v>
      </c>
      <c r="K7" s="3"/>
      <c r="L7" s="3">
        <v>59480</v>
      </c>
      <c r="M7" s="3" t="s">
        <v>6</v>
      </c>
      <c r="N7" s="3" t="s">
        <v>15</v>
      </c>
      <c r="O7" s="4">
        <v>690082984</v>
      </c>
      <c r="P7" s="4">
        <v>676846229</v>
      </c>
      <c r="Q7" s="3" t="s">
        <v>16</v>
      </c>
      <c r="R7" s="8">
        <v>0</v>
      </c>
      <c r="S7" s="48"/>
      <c r="T7" s="49" t="s">
        <v>17</v>
      </c>
      <c r="U7" s="50">
        <f t="shared" si="1"/>
        <v>0</v>
      </c>
      <c r="V7" s="50">
        <f t="shared" si="1"/>
        <v>0</v>
      </c>
      <c r="W7" s="8">
        <f t="shared" si="1"/>
        <v>0</v>
      </c>
      <c r="X7" s="8">
        <f t="shared" si="1"/>
        <v>0</v>
      </c>
      <c r="Y7" s="51"/>
      <c r="Z7" s="52"/>
      <c r="AA7" s="53">
        <v>1.1381668946648427</v>
      </c>
      <c r="AB7" s="54"/>
      <c r="AC7" s="54">
        <v>36000</v>
      </c>
      <c r="AD7" s="55">
        <v>1000</v>
      </c>
      <c r="AE7" s="56">
        <f t="shared" si="2"/>
        <v>37000</v>
      </c>
      <c r="AF7" s="57">
        <v>2500</v>
      </c>
      <c r="AG7" s="52">
        <v>2500</v>
      </c>
      <c r="AH7" s="58"/>
      <c r="AI7" s="54"/>
      <c r="AJ7" s="54"/>
      <c r="AK7" s="54"/>
      <c r="AL7" s="54"/>
      <c r="AM7" s="54"/>
      <c r="AN7" s="54"/>
      <c r="AO7" s="55"/>
      <c r="AP7" s="57">
        <f t="shared" si="3"/>
        <v>5000</v>
      </c>
      <c r="AQ7" s="52">
        <f t="shared" si="4"/>
        <v>42000</v>
      </c>
      <c r="AR7" s="55"/>
      <c r="AS7" s="59"/>
      <c r="AT7" s="52"/>
      <c r="AU7" s="52"/>
      <c r="AV7" s="54"/>
      <c r="AW7" s="54"/>
      <c r="AX7" s="54">
        <f ca="1">AE7*AX$8</f>
        <v>140.6</v>
      </c>
      <c r="AY7" s="54">
        <f ca="1">AE7*AY$8</f>
        <v>370</v>
      </c>
      <c r="AZ7" s="54">
        <f ca="1">AE7*AZ$8</f>
        <v>0</v>
      </c>
      <c r="BA7" s="54">
        <f t="shared" ca="1" si="5"/>
        <v>510.6</v>
      </c>
      <c r="BB7" s="54">
        <f ca="1">AE7*BB$8</f>
        <v>1554</v>
      </c>
      <c r="BC7" s="54">
        <f ca="1">AE7*BC$8</f>
        <v>0</v>
      </c>
      <c r="BD7" s="54">
        <f ca="1">AE7*BD$8</f>
        <v>0</v>
      </c>
      <c r="BE7" s="54">
        <f t="shared" ca="1" si="6"/>
        <v>1554</v>
      </c>
      <c r="BF7" s="54">
        <f ca="1">AE7*BF$8</f>
        <v>0</v>
      </c>
      <c r="BG7" s="54">
        <f ca="1">AE7*BG$8</f>
        <v>0</v>
      </c>
      <c r="BH7" s="54">
        <f ca="1">AE7*BH$8</f>
        <v>555</v>
      </c>
      <c r="BI7" s="54">
        <f ca="1">AE7*BI$8</f>
        <v>370</v>
      </c>
      <c r="BJ7" s="54">
        <f t="shared" ca="1" si="7"/>
        <v>925</v>
      </c>
      <c r="BK7" s="54">
        <f ca="1">AE7*BK$8</f>
        <v>1554</v>
      </c>
      <c r="BL7" s="54">
        <f ca="1">AE7*BL$8</f>
        <v>2590.0000000000005</v>
      </c>
      <c r="BM7" s="54">
        <f ca="1">AE7*BM$8</f>
        <v>647.50000000000011</v>
      </c>
      <c r="BN7" s="54">
        <f t="shared" ca="1" si="8"/>
        <v>4791.5</v>
      </c>
      <c r="BO7" s="54">
        <f t="shared" ca="1" si="9"/>
        <v>1435.6</v>
      </c>
      <c r="BP7" s="52">
        <f t="shared" ca="1" si="10"/>
        <v>6345.5</v>
      </c>
      <c r="BQ7" s="52">
        <f t="shared" ca="1" si="11"/>
        <v>7781.1</v>
      </c>
      <c r="BR7" s="54"/>
      <c r="BS7" s="54"/>
      <c r="BT7" s="60"/>
      <c r="BU7" s="61">
        <f t="shared" si="12"/>
        <v>3</v>
      </c>
      <c r="BV7" s="62" t="str">
        <f t="shared" si="12"/>
        <v>Miss</v>
      </c>
      <c r="BW7" s="62" t="str">
        <f t="shared" si="12"/>
        <v>GLAINNES FOMONYUY</v>
      </c>
      <c r="BX7" s="63" t="str">
        <f t="shared" si="13"/>
        <v>Baby nursery</v>
      </c>
      <c r="BY7" s="64">
        <f t="shared" si="14"/>
        <v>0</v>
      </c>
      <c r="BZ7" s="64">
        <f t="shared" si="14"/>
        <v>0</v>
      </c>
      <c r="CA7" s="65">
        <f t="shared" si="14"/>
        <v>0</v>
      </c>
      <c r="CB7" s="66">
        <f t="shared" si="14"/>
        <v>0</v>
      </c>
      <c r="CC7" s="67">
        <f t="shared" si="15"/>
        <v>37000</v>
      </c>
      <c r="CD7" s="68">
        <f t="shared" si="16"/>
        <v>5000</v>
      </c>
      <c r="CE7" s="69">
        <f t="shared" ca="1" si="17"/>
        <v>1435.6</v>
      </c>
      <c r="CF7" s="70">
        <f t="shared" ca="1" si="17"/>
        <v>6345.5</v>
      </c>
      <c r="CG7" s="70">
        <f t="shared" ca="1" si="17"/>
        <v>7781.1</v>
      </c>
      <c r="CH7" s="65">
        <f t="shared" si="18"/>
        <v>42000</v>
      </c>
      <c r="CI7" s="71"/>
      <c r="CJ7" s="72"/>
      <c r="CK7" s="61">
        <f t="shared" si="19"/>
        <v>3</v>
      </c>
      <c r="CL7" s="62" t="str">
        <f t="shared" si="19"/>
        <v>Miss</v>
      </c>
      <c r="CM7" s="62" t="str">
        <f t="shared" si="19"/>
        <v>GLAINNES FOMONYUY</v>
      </c>
      <c r="CN7" s="73" t="str">
        <f t="shared" si="19"/>
        <v>Baby nursery</v>
      </c>
      <c r="CO7" s="67">
        <f t="shared" si="20"/>
        <v>0</v>
      </c>
      <c r="CP7" s="65">
        <f t="shared" ca="1" si="20"/>
        <v>140.6</v>
      </c>
      <c r="CQ7" s="65">
        <f t="shared" ca="1" si="20"/>
        <v>370</v>
      </c>
      <c r="CR7" s="65">
        <f t="shared" ca="1" si="20"/>
        <v>0</v>
      </c>
      <c r="CS7" s="74">
        <f t="shared" ca="1" si="20"/>
        <v>510.6</v>
      </c>
      <c r="CT7" s="75">
        <f t="shared" ca="1" si="21"/>
        <v>0</v>
      </c>
      <c r="CU7" s="65">
        <f t="shared" ca="1" si="21"/>
        <v>0</v>
      </c>
      <c r="CV7" s="65">
        <f t="shared" ca="1" si="21"/>
        <v>555</v>
      </c>
      <c r="CW7" s="65">
        <f t="shared" ca="1" si="21"/>
        <v>370</v>
      </c>
      <c r="CX7" s="66">
        <f t="shared" ca="1" si="21"/>
        <v>925</v>
      </c>
      <c r="CY7" s="76">
        <f t="shared" ca="1" si="22"/>
        <v>1435.6</v>
      </c>
      <c r="CZ7" s="71"/>
      <c r="DA7" s="77"/>
      <c r="DB7" s="61">
        <f t="shared" si="23"/>
        <v>3</v>
      </c>
      <c r="DC7" s="62" t="str">
        <f t="shared" si="23"/>
        <v>Miss</v>
      </c>
      <c r="DD7" s="62" t="str">
        <f t="shared" si="23"/>
        <v>GLAINNES FOMONYUY</v>
      </c>
      <c r="DE7" s="73" t="str">
        <f t="shared" si="23"/>
        <v>Baby nursery</v>
      </c>
      <c r="DF7" s="78">
        <f t="shared" ca="1" si="24"/>
        <v>510.6</v>
      </c>
      <c r="DG7" s="62">
        <f t="shared" ca="1" si="24"/>
        <v>1554</v>
      </c>
      <c r="DH7" s="62">
        <f t="shared" ca="1" si="24"/>
        <v>0</v>
      </c>
      <c r="DI7" s="62">
        <f t="shared" ca="1" si="24"/>
        <v>0</v>
      </c>
      <c r="DJ7" s="79">
        <f t="shared" ca="1" si="24"/>
        <v>1554</v>
      </c>
      <c r="DK7" s="80">
        <f t="shared" ca="1" si="25"/>
        <v>1554</v>
      </c>
      <c r="DL7" s="81">
        <f t="shared" ca="1" si="25"/>
        <v>2590.0000000000005</v>
      </c>
      <c r="DM7" s="82">
        <f t="shared" ca="1" si="25"/>
        <v>647.50000000000011</v>
      </c>
      <c r="DN7" s="81">
        <f t="shared" ca="1" si="25"/>
        <v>4791.5</v>
      </c>
      <c r="DO7" s="83">
        <f t="shared" ca="1" si="26"/>
        <v>6345.5</v>
      </c>
      <c r="DP7" s="84"/>
      <c r="DQ7" s="84"/>
      <c r="DR7" s="85">
        <f t="shared" si="27"/>
        <v>3</v>
      </c>
      <c r="DS7" s="62" t="str">
        <f t="shared" si="27"/>
        <v>Miss</v>
      </c>
      <c r="DT7" s="62" t="str">
        <f t="shared" si="27"/>
        <v>GLAINNES FOMONYUY</v>
      </c>
      <c r="DU7" s="86" t="str">
        <f t="shared" si="27"/>
        <v>Baby nursery</v>
      </c>
      <c r="DV7" s="87">
        <f t="shared" si="27"/>
        <v>0</v>
      </c>
      <c r="DW7" s="88">
        <f t="shared" si="27"/>
        <v>0</v>
      </c>
      <c r="DX7" s="89">
        <f t="shared" si="28"/>
        <v>0</v>
      </c>
      <c r="DY7" s="89">
        <f t="shared" si="27"/>
        <v>0</v>
      </c>
      <c r="DZ7" s="90">
        <f t="shared" si="29"/>
        <v>42000</v>
      </c>
      <c r="EA7" s="91"/>
      <c r="EB7" s="90"/>
      <c r="EC7" s="90">
        <v>15000</v>
      </c>
      <c r="ED7" s="90">
        <v>3000</v>
      </c>
      <c r="EE7" s="45"/>
      <c r="EF7" s="90"/>
      <c r="EG7" s="62">
        <f t="shared" si="30"/>
        <v>24000</v>
      </c>
      <c r="EH7" s="47" t="str">
        <f t="shared" si="31"/>
        <v>GLAINNES FOMONYUY</v>
      </c>
    </row>
    <row r="8" spans="1:138" s="92" customFormat="1" ht="22.5" customHeight="1">
      <c r="A8" s="1">
        <v>4</v>
      </c>
      <c r="B8" s="2" t="s">
        <v>0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3">
        <v>31082</v>
      </c>
      <c r="J8" s="3">
        <v>42614</v>
      </c>
      <c r="K8" s="3"/>
      <c r="L8" s="3">
        <v>53209</v>
      </c>
      <c r="M8" s="3" t="s">
        <v>24</v>
      </c>
      <c r="N8" s="3" t="s">
        <v>25</v>
      </c>
      <c r="O8" s="4"/>
      <c r="P8" s="4">
        <v>677287504</v>
      </c>
      <c r="Q8" s="3" t="s">
        <v>26</v>
      </c>
      <c r="R8" s="5">
        <v>5</v>
      </c>
      <c r="S8" s="3"/>
      <c r="T8" s="6" t="s">
        <v>9</v>
      </c>
      <c r="U8" s="7">
        <f t="shared" si="1"/>
        <v>0</v>
      </c>
      <c r="V8" s="7">
        <f t="shared" si="1"/>
        <v>0</v>
      </c>
      <c r="W8" s="8">
        <f t="shared" si="1"/>
        <v>0</v>
      </c>
      <c r="X8" s="8">
        <f t="shared" si="1"/>
        <v>0</v>
      </c>
      <c r="Y8" s="9"/>
      <c r="Z8" s="10"/>
      <c r="AA8" s="11">
        <v>7.2393980848153214</v>
      </c>
      <c r="AB8" s="10"/>
      <c r="AC8" s="10">
        <v>53000</v>
      </c>
      <c r="AD8" s="12">
        <v>7000</v>
      </c>
      <c r="AE8" s="13">
        <f t="shared" si="2"/>
        <v>60000</v>
      </c>
      <c r="AF8" s="14">
        <v>2500</v>
      </c>
      <c r="AG8" s="10">
        <v>2500</v>
      </c>
      <c r="AH8" s="10"/>
      <c r="AI8" s="10"/>
      <c r="AJ8" s="10"/>
      <c r="AK8" s="10"/>
      <c r="AL8" s="10"/>
      <c r="AM8" s="10"/>
      <c r="AN8" s="10"/>
      <c r="AO8" s="12"/>
      <c r="AP8" s="14">
        <f t="shared" si="3"/>
        <v>5000</v>
      </c>
      <c r="AQ8" s="10">
        <f t="shared" si="4"/>
        <v>65000</v>
      </c>
      <c r="AR8" s="12"/>
      <c r="AS8" s="15"/>
      <c r="AT8" s="16"/>
      <c r="AU8" s="16"/>
      <c r="AV8" s="10"/>
      <c r="AW8" s="10"/>
      <c r="AX8" s="10">
        <f ca="1">AE8*AX$8</f>
        <v>228</v>
      </c>
      <c r="AY8" s="10">
        <f ca="1">AE8*AY$8</f>
        <v>600</v>
      </c>
      <c r="AZ8" s="10">
        <f ca="1">AE8*AZ$8</f>
        <v>0</v>
      </c>
      <c r="BA8" s="10">
        <f t="shared" ca="1" si="5"/>
        <v>828</v>
      </c>
      <c r="BB8" s="10">
        <f ca="1">AE8*BB$8</f>
        <v>2520</v>
      </c>
      <c r="BC8" s="10">
        <f ca="1">AE8*BC$8</f>
        <v>0</v>
      </c>
      <c r="BD8" s="10">
        <f ca="1">AE8*BD$8</f>
        <v>0</v>
      </c>
      <c r="BE8" s="10">
        <f t="shared" ca="1" si="6"/>
        <v>2520</v>
      </c>
      <c r="BF8" s="10">
        <f ca="1">AE8*BF$8</f>
        <v>0</v>
      </c>
      <c r="BG8" s="10">
        <f ca="1">AE8*BG$8</f>
        <v>0</v>
      </c>
      <c r="BH8" s="10">
        <f ca="1">AE8*BH$8</f>
        <v>900</v>
      </c>
      <c r="BI8" s="10">
        <f ca="1">AE8*BI$8</f>
        <v>600</v>
      </c>
      <c r="BJ8" s="10">
        <f t="shared" ca="1" si="7"/>
        <v>1500</v>
      </c>
      <c r="BK8" s="10">
        <f ca="1">AE8*BK$8</f>
        <v>2520</v>
      </c>
      <c r="BL8" s="10">
        <f ca="1">AE8*BL$8</f>
        <v>4200</v>
      </c>
      <c r="BM8" s="10">
        <f ca="1">AE8*BM$8</f>
        <v>1050</v>
      </c>
      <c r="BN8" s="10">
        <f t="shared" ca="1" si="8"/>
        <v>7770</v>
      </c>
      <c r="BO8" s="10">
        <f t="shared" ca="1" si="9"/>
        <v>2328</v>
      </c>
      <c r="BP8" s="10">
        <f t="shared" ca="1" si="10"/>
        <v>10290</v>
      </c>
      <c r="BQ8" s="10">
        <f t="shared" ca="1" si="11"/>
        <v>12618</v>
      </c>
      <c r="BR8" s="10"/>
      <c r="BS8" s="10"/>
      <c r="BT8" s="17"/>
      <c r="BU8" s="18">
        <f t="shared" si="12"/>
        <v>4</v>
      </c>
      <c r="BV8" s="19" t="str">
        <f t="shared" si="12"/>
        <v>Mrs</v>
      </c>
      <c r="BW8" s="19" t="str">
        <f t="shared" si="12"/>
        <v>AGBORNDE CATHERINE BESONG</v>
      </c>
      <c r="BX8" s="20" t="str">
        <f t="shared" si="13"/>
        <v>Nursery 1-A</v>
      </c>
      <c r="BY8" s="21">
        <f t="shared" si="14"/>
        <v>0</v>
      </c>
      <c r="BZ8" s="21">
        <f t="shared" si="14"/>
        <v>0</v>
      </c>
      <c r="CA8" s="22">
        <f t="shared" si="14"/>
        <v>0</v>
      </c>
      <c r="CB8" s="23">
        <f t="shared" si="14"/>
        <v>0</v>
      </c>
      <c r="CC8" s="24">
        <f t="shared" si="15"/>
        <v>60000</v>
      </c>
      <c r="CD8" s="31">
        <f t="shared" si="16"/>
        <v>5000</v>
      </c>
      <c r="CE8" s="26">
        <f t="shared" ca="1" si="17"/>
        <v>2328</v>
      </c>
      <c r="CF8" s="22">
        <f t="shared" ca="1" si="17"/>
        <v>10290</v>
      </c>
      <c r="CG8" s="22">
        <f t="shared" ca="1" si="17"/>
        <v>12618</v>
      </c>
      <c r="CH8" s="22">
        <f t="shared" si="18"/>
        <v>65000</v>
      </c>
      <c r="CI8" s="28"/>
      <c r="CJ8" s="29"/>
      <c r="CK8" s="18">
        <f t="shared" si="19"/>
        <v>4</v>
      </c>
      <c r="CL8" s="19" t="str">
        <f t="shared" si="19"/>
        <v>Mrs</v>
      </c>
      <c r="CM8" s="19" t="str">
        <f t="shared" si="19"/>
        <v>AGBORNDE CATHERINE BESONG</v>
      </c>
      <c r="CN8" s="30" t="str">
        <f t="shared" si="19"/>
        <v>Nursery 1-A</v>
      </c>
      <c r="CO8" s="24">
        <f t="shared" si="20"/>
        <v>0</v>
      </c>
      <c r="CP8" s="22">
        <f t="shared" ca="1" si="20"/>
        <v>228</v>
      </c>
      <c r="CQ8" s="22">
        <f t="shared" ca="1" si="20"/>
        <v>600</v>
      </c>
      <c r="CR8" s="22">
        <f t="shared" ca="1" si="20"/>
        <v>0</v>
      </c>
      <c r="CS8" s="31">
        <f t="shared" ca="1" si="20"/>
        <v>828</v>
      </c>
      <c r="CT8" s="26">
        <f t="shared" ca="1" si="21"/>
        <v>0</v>
      </c>
      <c r="CU8" s="22">
        <f t="shared" ca="1" si="21"/>
        <v>0</v>
      </c>
      <c r="CV8" s="22">
        <f t="shared" ca="1" si="21"/>
        <v>900</v>
      </c>
      <c r="CW8" s="22">
        <f t="shared" ca="1" si="21"/>
        <v>600</v>
      </c>
      <c r="CX8" s="23">
        <f t="shared" ca="1" si="21"/>
        <v>1500</v>
      </c>
      <c r="CY8" s="32">
        <f t="shared" ca="1" si="22"/>
        <v>2328</v>
      </c>
      <c r="CZ8" s="28"/>
      <c r="DA8" s="33"/>
      <c r="DB8" s="18">
        <f t="shared" si="23"/>
        <v>4</v>
      </c>
      <c r="DC8" s="19" t="str">
        <f t="shared" si="23"/>
        <v>Mrs</v>
      </c>
      <c r="DD8" s="19" t="str">
        <f t="shared" si="23"/>
        <v>AGBORNDE CATHERINE BESONG</v>
      </c>
      <c r="DE8" s="30" t="str">
        <f t="shared" si="23"/>
        <v>Nursery 1-A</v>
      </c>
      <c r="DF8" s="34">
        <f t="shared" ca="1" si="24"/>
        <v>828</v>
      </c>
      <c r="DG8" s="19">
        <f t="shared" ca="1" si="24"/>
        <v>2520</v>
      </c>
      <c r="DH8" s="19">
        <f t="shared" ca="1" si="24"/>
        <v>0</v>
      </c>
      <c r="DI8" s="19">
        <f t="shared" ca="1" si="24"/>
        <v>0</v>
      </c>
      <c r="DJ8" s="35">
        <f t="shared" ca="1" si="24"/>
        <v>2520</v>
      </c>
      <c r="DK8" s="36">
        <f t="shared" ca="1" si="25"/>
        <v>2520</v>
      </c>
      <c r="DL8" s="37">
        <f t="shared" ca="1" si="25"/>
        <v>4200</v>
      </c>
      <c r="DM8" s="37">
        <f t="shared" ca="1" si="25"/>
        <v>1050</v>
      </c>
      <c r="DN8" s="37">
        <f t="shared" ca="1" si="25"/>
        <v>7770</v>
      </c>
      <c r="DO8" s="38">
        <f t="shared" ca="1" si="26"/>
        <v>10290</v>
      </c>
      <c r="DP8" s="39"/>
      <c r="DQ8" s="39"/>
      <c r="DR8" s="40">
        <f t="shared" si="27"/>
        <v>4</v>
      </c>
      <c r="DS8" s="19" t="str">
        <f t="shared" si="27"/>
        <v>Mrs</v>
      </c>
      <c r="DT8" s="19" t="str">
        <f t="shared" si="27"/>
        <v>AGBORNDE CATHERINE BESONG</v>
      </c>
      <c r="DU8" s="41" t="str">
        <f t="shared" si="27"/>
        <v>Nursery 1-A</v>
      </c>
      <c r="DV8" s="42">
        <f t="shared" si="27"/>
        <v>0</v>
      </c>
      <c r="DW8" s="43">
        <f t="shared" si="27"/>
        <v>0</v>
      </c>
      <c r="DX8" s="44">
        <f t="shared" si="28"/>
        <v>0</v>
      </c>
      <c r="DY8" s="44">
        <v>19</v>
      </c>
      <c r="DZ8" s="45">
        <f t="shared" si="29"/>
        <v>65000</v>
      </c>
      <c r="EA8" s="46"/>
      <c r="EB8" s="45"/>
      <c r="EC8" s="45">
        <v>15000</v>
      </c>
      <c r="ED8" s="45">
        <v>3000</v>
      </c>
      <c r="EE8" s="45"/>
      <c r="EF8" s="45"/>
      <c r="EG8" s="19">
        <f t="shared" si="30"/>
        <v>47000</v>
      </c>
      <c r="EH8" s="47" t="str">
        <f t="shared" si="31"/>
        <v>AGBORNDE CATHERINE BESONG</v>
      </c>
    </row>
    <row r="9" spans="1:138" s="93" customFormat="1" ht="12.75" customHeight="1">
      <c r="A9" s="1">
        <v>5</v>
      </c>
      <c r="B9" s="2" t="s">
        <v>0</v>
      </c>
      <c r="C9" s="1" t="s">
        <v>27</v>
      </c>
      <c r="D9" s="1"/>
      <c r="E9" s="1" t="s">
        <v>28</v>
      </c>
      <c r="F9" s="1">
        <v>46713</v>
      </c>
      <c r="G9" s="1" t="s">
        <v>29</v>
      </c>
      <c r="H9" s="1" t="s">
        <v>30</v>
      </c>
      <c r="I9" s="3">
        <v>45273</v>
      </c>
      <c r="J9" s="3">
        <v>45170</v>
      </c>
      <c r="K9" s="3"/>
      <c r="L9" s="3"/>
      <c r="M9" s="3" t="s">
        <v>6</v>
      </c>
      <c r="N9" s="3" t="s">
        <v>7</v>
      </c>
      <c r="O9" s="4">
        <v>692692501</v>
      </c>
      <c r="P9" s="4">
        <v>688816705</v>
      </c>
      <c r="Q9" s="3" t="s">
        <v>31</v>
      </c>
      <c r="R9" s="8">
        <v>0</v>
      </c>
      <c r="S9" s="48"/>
      <c r="T9" s="49" t="s">
        <v>17</v>
      </c>
      <c r="U9" s="50">
        <f t="shared" si="1"/>
        <v>0</v>
      </c>
      <c r="V9" s="50">
        <f t="shared" si="1"/>
        <v>0</v>
      </c>
      <c r="W9" s="8">
        <f t="shared" si="1"/>
        <v>0</v>
      </c>
      <c r="X9" s="8">
        <f t="shared" si="1"/>
        <v>0</v>
      </c>
      <c r="Y9" s="51"/>
      <c r="Z9" s="52"/>
      <c r="AA9" s="53">
        <v>0.24623803009575923</v>
      </c>
      <c r="AB9" s="54"/>
      <c r="AC9" s="54">
        <v>35000</v>
      </c>
      <c r="AD9" s="55">
        <v>0</v>
      </c>
      <c r="AE9" s="13">
        <f t="shared" si="2"/>
        <v>35000</v>
      </c>
      <c r="AF9" s="57">
        <v>2500</v>
      </c>
      <c r="AG9" s="52">
        <v>2500</v>
      </c>
      <c r="AH9" s="58"/>
      <c r="AI9" s="54"/>
      <c r="AJ9" s="54"/>
      <c r="AK9" s="54"/>
      <c r="AL9" s="54"/>
      <c r="AM9" s="54"/>
      <c r="AN9" s="54"/>
      <c r="AO9" s="55"/>
      <c r="AP9" s="57">
        <f t="shared" si="3"/>
        <v>5000</v>
      </c>
      <c r="AQ9" s="52">
        <f t="shared" si="4"/>
        <v>40000</v>
      </c>
      <c r="AR9" s="55"/>
      <c r="AS9" s="59"/>
      <c r="AT9" s="52"/>
      <c r="AU9" s="52"/>
      <c r="AV9" s="54"/>
      <c r="AW9" s="54"/>
      <c r="AX9" s="54">
        <f ca="1">AE9*AX$8</f>
        <v>133</v>
      </c>
      <c r="AY9" s="54">
        <f ca="1">AE9*AY$8</f>
        <v>350</v>
      </c>
      <c r="AZ9" s="54">
        <f ca="1">AE9*AZ$8</f>
        <v>0</v>
      </c>
      <c r="BA9" s="54">
        <f t="shared" ca="1" si="5"/>
        <v>483</v>
      </c>
      <c r="BB9" s="54">
        <f ca="1">AE9*BB$8</f>
        <v>1470</v>
      </c>
      <c r="BC9" s="54">
        <f ca="1">AE9*BC$8</f>
        <v>0</v>
      </c>
      <c r="BD9" s="54">
        <f ca="1">AE9*BD$8</f>
        <v>0</v>
      </c>
      <c r="BE9" s="54">
        <f t="shared" ca="1" si="6"/>
        <v>1470</v>
      </c>
      <c r="BF9" s="54">
        <f ca="1">AE9*BF$8</f>
        <v>0</v>
      </c>
      <c r="BG9" s="54">
        <f ca="1">AE9*BG$8</f>
        <v>0</v>
      </c>
      <c r="BH9" s="54">
        <f ca="1">AE9*BH$8</f>
        <v>525</v>
      </c>
      <c r="BI9" s="54">
        <f ca="1">AE9*BI$8</f>
        <v>350</v>
      </c>
      <c r="BJ9" s="54">
        <f t="shared" ca="1" si="7"/>
        <v>875</v>
      </c>
      <c r="BK9" s="54">
        <f ca="1">AE9*BK$8</f>
        <v>1470</v>
      </c>
      <c r="BL9" s="54">
        <f ca="1">AE9*BL$8</f>
        <v>2450.0000000000005</v>
      </c>
      <c r="BM9" s="54">
        <f ca="1">AE9*BM$8</f>
        <v>612.50000000000011</v>
      </c>
      <c r="BN9" s="54">
        <f t="shared" ca="1" si="8"/>
        <v>4532.5000000000009</v>
      </c>
      <c r="BO9" s="54">
        <f t="shared" ca="1" si="9"/>
        <v>1358</v>
      </c>
      <c r="BP9" s="52">
        <f t="shared" ca="1" si="10"/>
        <v>6002.5000000000009</v>
      </c>
      <c r="BQ9" s="52">
        <f t="shared" ca="1" si="11"/>
        <v>7360.5000000000009</v>
      </c>
      <c r="BR9" s="54"/>
      <c r="BS9" s="54"/>
      <c r="BT9" s="60"/>
      <c r="BU9" s="61">
        <f t="shared" si="12"/>
        <v>5</v>
      </c>
      <c r="BV9" s="62" t="str">
        <f t="shared" si="12"/>
        <v>Mrs</v>
      </c>
      <c r="BW9" s="62" t="str">
        <f t="shared" si="12"/>
        <v>FABIOLA ABURINYUY NSAIDZEDZE</v>
      </c>
      <c r="BX9" s="63" t="str">
        <f t="shared" si="13"/>
        <v>Nursery 1 assistant</v>
      </c>
      <c r="BY9" s="64">
        <f t="shared" si="14"/>
        <v>0</v>
      </c>
      <c r="BZ9" s="64">
        <f t="shared" si="14"/>
        <v>0</v>
      </c>
      <c r="CA9" s="65">
        <f t="shared" si="14"/>
        <v>0</v>
      </c>
      <c r="CB9" s="66">
        <f t="shared" si="14"/>
        <v>0</v>
      </c>
      <c r="CC9" s="67">
        <f t="shared" si="15"/>
        <v>35000</v>
      </c>
      <c r="CD9" s="68">
        <f t="shared" si="16"/>
        <v>5000</v>
      </c>
      <c r="CE9" s="69">
        <f t="shared" ca="1" si="17"/>
        <v>1358</v>
      </c>
      <c r="CF9" s="70">
        <f t="shared" ca="1" si="17"/>
        <v>6002.5000000000009</v>
      </c>
      <c r="CG9" s="70">
        <f t="shared" ca="1" si="17"/>
        <v>7360.5000000000009</v>
      </c>
      <c r="CH9" s="65">
        <f t="shared" si="18"/>
        <v>40000</v>
      </c>
      <c r="CI9" s="71"/>
      <c r="CJ9" s="72"/>
      <c r="CK9" s="61">
        <f t="shared" si="19"/>
        <v>5</v>
      </c>
      <c r="CL9" s="62" t="str">
        <f t="shared" si="19"/>
        <v>Mrs</v>
      </c>
      <c r="CM9" s="62" t="str">
        <f t="shared" si="19"/>
        <v>FABIOLA ABURINYUY NSAIDZEDZE</v>
      </c>
      <c r="CN9" s="73" t="str">
        <f t="shared" si="19"/>
        <v>Nursery 1 assistant</v>
      </c>
      <c r="CO9" s="67">
        <f t="shared" si="20"/>
        <v>0</v>
      </c>
      <c r="CP9" s="65">
        <f t="shared" ca="1" si="20"/>
        <v>133</v>
      </c>
      <c r="CQ9" s="65">
        <f t="shared" ca="1" si="20"/>
        <v>350</v>
      </c>
      <c r="CR9" s="65">
        <f t="shared" ca="1" si="20"/>
        <v>0</v>
      </c>
      <c r="CS9" s="74">
        <f t="shared" ca="1" si="20"/>
        <v>483</v>
      </c>
      <c r="CT9" s="75">
        <f t="shared" ca="1" si="21"/>
        <v>0</v>
      </c>
      <c r="CU9" s="65">
        <f t="shared" ca="1" si="21"/>
        <v>0</v>
      </c>
      <c r="CV9" s="65">
        <f t="shared" ca="1" si="21"/>
        <v>525</v>
      </c>
      <c r="CW9" s="65">
        <f t="shared" ca="1" si="21"/>
        <v>350</v>
      </c>
      <c r="CX9" s="66">
        <f t="shared" ca="1" si="21"/>
        <v>875</v>
      </c>
      <c r="CY9" s="76">
        <f t="shared" ca="1" si="22"/>
        <v>1358</v>
      </c>
      <c r="CZ9" s="71"/>
      <c r="DA9" s="77"/>
      <c r="DB9" s="61">
        <f t="shared" si="23"/>
        <v>5</v>
      </c>
      <c r="DC9" s="62" t="str">
        <f t="shared" si="23"/>
        <v>Mrs</v>
      </c>
      <c r="DD9" s="62" t="str">
        <f t="shared" si="23"/>
        <v>FABIOLA ABURINYUY NSAIDZEDZE</v>
      </c>
      <c r="DE9" s="73" t="str">
        <f t="shared" si="23"/>
        <v>Nursery 1 assistant</v>
      </c>
      <c r="DF9" s="78">
        <f t="shared" ca="1" si="24"/>
        <v>483</v>
      </c>
      <c r="DG9" s="62">
        <f t="shared" ca="1" si="24"/>
        <v>1470</v>
      </c>
      <c r="DH9" s="62">
        <f t="shared" ca="1" si="24"/>
        <v>0</v>
      </c>
      <c r="DI9" s="62">
        <f t="shared" ca="1" si="24"/>
        <v>0</v>
      </c>
      <c r="DJ9" s="79">
        <f t="shared" ca="1" si="24"/>
        <v>1470</v>
      </c>
      <c r="DK9" s="80">
        <f t="shared" ca="1" si="25"/>
        <v>1470</v>
      </c>
      <c r="DL9" s="81">
        <f t="shared" ca="1" si="25"/>
        <v>2450.0000000000005</v>
      </c>
      <c r="DM9" s="82">
        <f t="shared" ca="1" si="25"/>
        <v>612.50000000000011</v>
      </c>
      <c r="DN9" s="81">
        <f t="shared" ca="1" si="25"/>
        <v>4532.5000000000009</v>
      </c>
      <c r="DO9" s="83">
        <f t="shared" ca="1" si="26"/>
        <v>6002.5000000000009</v>
      </c>
      <c r="DP9" s="84"/>
      <c r="DQ9" s="84"/>
      <c r="DR9" s="85">
        <f t="shared" si="27"/>
        <v>5</v>
      </c>
      <c r="DS9" s="62" t="str">
        <f t="shared" si="27"/>
        <v>Mrs</v>
      </c>
      <c r="DT9" s="62" t="str">
        <f t="shared" si="27"/>
        <v>FABIOLA ABURINYUY NSAIDZEDZE</v>
      </c>
      <c r="DU9" s="86" t="str">
        <f t="shared" si="27"/>
        <v>Nursery 1 assistant</v>
      </c>
      <c r="DV9" s="87">
        <f t="shared" si="27"/>
        <v>0</v>
      </c>
      <c r="DW9" s="88">
        <f t="shared" si="27"/>
        <v>0</v>
      </c>
      <c r="DX9" s="89">
        <f t="shared" si="28"/>
        <v>0</v>
      </c>
      <c r="DY9" s="89">
        <f t="shared" si="27"/>
        <v>0</v>
      </c>
      <c r="DZ9" s="90">
        <f t="shared" si="29"/>
        <v>40000</v>
      </c>
      <c r="EA9" s="91"/>
      <c r="EB9" s="90"/>
      <c r="EC9" s="90">
        <v>15000</v>
      </c>
      <c r="ED9" s="90">
        <v>3000</v>
      </c>
      <c r="EE9" s="45"/>
      <c r="EF9" s="90"/>
      <c r="EG9" s="62">
        <f t="shared" si="30"/>
        <v>22000</v>
      </c>
      <c r="EH9" s="47" t="str">
        <f t="shared" si="31"/>
        <v>FABIOLA ABURINYUY NSAIDZEDZE</v>
      </c>
    </row>
    <row r="10" spans="1:138" ht="12.75" customHeight="1">
      <c r="A10" s="1">
        <v>6</v>
      </c>
      <c r="B10" s="2" t="s">
        <v>0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3">
        <v>32958</v>
      </c>
      <c r="J10" s="3">
        <v>44105</v>
      </c>
      <c r="K10" s="3"/>
      <c r="L10" s="3">
        <v>55062</v>
      </c>
      <c r="M10" s="3" t="s">
        <v>38</v>
      </c>
      <c r="N10" s="3" t="s">
        <v>25</v>
      </c>
      <c r="O10" s="4"/>
      <c r="P10" s="4">
        <v>674974047</v>
      </c>
      <c r="Q10" s="3" t="s">
        <v>26</v>
      </c>
      <c r="R10" s="5">
        <v>1</v>
      </c>
      <c r="S10" s="3" t="s">
        <v>39</v>
      </c>
      <c r="T10" s="6" t="s">
        <v>40</v>
      </c>
      <c r="U10" s="7">
        <f t="shared" si="1"/>
        <v>0</v>
      </c>
      <c r="V10" s="7">
        <f t="shared" si="1"/>
        <v>0</v>
      </c>
      <c r="W10" s="8">
        <f t="shared" si="1"/>
        <v>0</v>
      </c>
      <c r="X10" s="8">
        <f t="shared" si="1"/>
        <v>0</v>
      </c>
      <c r="Y10" s="9"/>
      <c r="Z10" s="10"/>
      <c r="AA10" s="11">
        <v>3.1600547195622437</v>
      </c>
      <c r="AB10" s="10"/>
      <c r="AC10" s="10">
        <v>52000</v>
      </c>
      <c r="AD10" s="12">
        <v>3000</v>
      </c>
      <c r="AE10" s="13">
        <f t="shared" si="2"/>
        <v>55000</v>
      </c>
      <c r="AF10" s="14">
        <v>2500</v>
      </c>
      <c r="AG10" s="10">
        <v>2500</v>
      </c>
      <c r="AH10" s="10"/>
      <c r="AI10" s="10"/>
      <c r="AJ10" s="10"/>
      <c r="AK10" s="10"/>
      <c r="AL10" s="10"/>
      <c r="AM10" s="10"/>
      <c r="AN10" s="10"/>
      <c r="AO10" s="12"/>
      <c r="AP10" s="14">
        <f t="shared" si="3"/>
        <v>5000</v>
      </c>
      <c r="AQ10" s="10">
        <f t="shared" si="4"/>
        <v>60000</v>
      </c>
      <c r="AR10" s="12"/>
      <c r="AS10" s="15"/>
      <c r="AT10" s="16"/>
      <c r="AU10" s="16"/>
      <c r="AV10" s="10"/>
      <c r="AW10" s="10"/>
      <c r="AX10" s="10">
        <f ca="1">AE10*AX$8</f>
        <v>209</v>
      </c>
      <c r="AY10" s="10">
        <f ca="1">AE10*AY$8</f>
        <v>550</v>
      </c>
      <c r="AZ10" s="10">
        <f ca="1">AE10*AZ$8</f>
        <v>0</v>
      </c>
      <c r="BA10" s="10">
        <f t="shared" ca="1" si="5"/>
        <v>759</v>
      </c>
      <c r="BB10" s="10">
        <f ca="1">AE10*BB$8</f>
        <v>2310</v>
      </c>
      <c r="BC10" s="10">
        <f ca="1">AE10*BC$8</f>
        <v>0</v>
      </c>
      <c r="BD10" s="10">
        <f ca="1">AE10*BD$8</f>
        <v>0</v>
      </c>
      <c r="BE10" s="10">
        <f t="shared" ca="1" si="6"/>
        <v>2310</v>
      </c>
      <c r="BF10" s="10">
        <f ca="1">AE10*BF$8</f>
        <v>0</v>
      </c>
      <c r="BG10" s="10">
        <f ca="1">AE10*BG$8</f>
        <v>0</v>
      </c>
      <c r="BH10" s="10">
        <f ca="1">AE10*BH$8</f>
        <v>825</v>
      </c>
      <c r="BI10" s="10">
        <f ca="1">AE10*BI$8</f>
        <v>550</v>
      </c>
      <c r="BJ10" s="10">
        <f t="shared" ca="1" si="7"/>
        <v>1375</v>
      </c>
      <c r="BK10" s="10">
        <f ca="1">AE10*BK$8</f>
        <v>2310</v>
      </c>
      <c r="BL10" s="10">
        <f ca="1">AE10*BL$8</f>
        <v>3850.0000000000005</v>
      </c>
      <c r="BM10" s="10">
        <f ca="1">AE10*BM$8</f>
        <v>962.50000000000011</v>
      </c>
      <c r="BN10" s="10">
        <f t="shared" ca="1" si="8"/>
        <v>7122.5</v>
      </c>
      <c r="BO10" s="10">
        <f t="shared" ca="1" si="9"/>
        <v>2134</v>
      </c>
      <c r="BP10" s="10">
        <f t="shared" ca="1" si="10"/>
        <v>9432.5</v>
      </c>
      <c r="BQ10" s="10">
        <f t="shared" ca="1" si="11"/>
        <v>11566.5</v>
      </c>
      <c r="BR10" s="10"/>
      <c r="BS10" s="10"/>
      <c r="BT10" s="17"/>
      <c r="BU10" s="18">
        <f t="shared" si="12"/>
        <v>6</v>
      </c>
      <c r="BV10" s="19" t="str">
        <f t="shared" si="12"/>
        <v>Mrs</v>
      </c>
      <c r="BW10" s="19" t="str">
        <f t="shared" si="12"/>
        <v>CHEMO LAURIETTA BUVA</v>
      </c>
      <c r="BX10" s="20" t="str">
        <f t="shared" si="13"/>
        <v>Nursery 2-A</v>
      </c>
      <c r="BY10" s="21">
        <f t="shared" si="14"/>
        <v>0</v>
      </c>
      <c r="BZ10" s="21">
        <f t="shared" si="14"/>
        <v>0</v>
      </c>
      <c r="CA10" s="22">
        <f t="shared" si="14"/>
        <v>0</v>
      </c>
      <c r="CB10" s="23">
        <f t="shared" si="14"/>
        <v>0</v>
      </c>
      <c r="CC10" s="24">
        <f t="shared" si="15"/>
        <v>55000</v>
      </c>
      <c r="CD10" s="31">
        <f t="shared" si="16"/>
        <v>5000</v>
      </c>
      <c r="CE10" s="26">
        <f t="shared" ca="1" si="17"/>
        <v>2134</v>
      </c>
      <c r="CF10" s="22">
        <f t="shared" ca="1" si="17"/>
        <v>9432.5</v>
      </c>
      <c r="CG10" s="22">
        <f t="shared" ca="1" si="17"/>
        <v>11566.5</v>
      </c>
      <c r="CH10" s="22">
        <f t="shared" si="18"/>
        <v>60000</v>
      </c>
      <c r="CI10" s="28"/>
      <c r="CJ10" s="29"/>
      <c r="CK10" s="18">
        <f t="shared" si="19"/>
        <v>6</v>
      </c>
      <c r="CL10" s="19" t="str">
        <f t="shared" si="19"/>
        <v>Mrs</v>
      </c>
      <c r="CM10" s="19" t="str">
        <f t="shared" si="19"/>
        <v>CHEMO LAURIETTA BUVA</v>
      </c>
      <c r="CN10" s="30" t="str">
        <f t="shared" si="19"/>
        <v>Nursery 2-A</v>
      </c>
      <c r="CO10" s="24">
        <f t="shared" si="20"/>
        <v>0</v>
      </c>
      <c r="CP10" s="22">
        <f t="shared" ca="1" si="20"/>
        <v>209</v>
      </c>
      <c r="CQ10" s="22">
        <f t="shared" ca="1" si="20"/>
        <v>550</v>
      </c>
      <c r="CR10" s="22">
        <f t="shared" ca="1" si="20"/>
        <v>0</v>
      </c>
      <c r="CS10" s="31">
        <f t="shared" ca="1" si="20"/>
        <v>759</v>
      </c>
      <c r="CT10" s="26">
        <f t="shared" ca="1" si="21"/>
        <v>0</v>
      </c>
      <c r="CU10" s="22">
        <f t="shared" ca="1" si="21"/>
        <v>0</v>
      </c>
      <c r="CV10" s="22">
        <f t="shared" ca="1" si="21"/>
        <v>825</v>
      </c>
      <c r="CW10" s="22">
        <f t="shared" ca="1" si="21"/>
        <v>550</v>
      </c>
      <c r="CX10" s="23">
        <f t="shared" ca="1" si="21"/>
        <v>1375</v>
      </c>
      <c r="CY10" s="32">
        <f t="shared" ca="1" si="22"/>
        <v>2134</v>
      </c>
      <c r="CZ10" s="28"/>
      <c r="DA10" s="33"/>
      <c r="DB10" s="18">
        <f t="shared" si="23"/>
        <v>6</v>
      </c>
      <c r="DC10" s="19" t="str">
        <f t="shared" si="23"/>
        <v>Mrs</v>
      </c>
      <c r="DD10" s="19" t="str">
        <f t="shared" si="23"/>
        <v>CHEMO LAURIETTA BUVA</v>
      </c>
      <c r="DE10" s="30" t="str">
        <f t="shared" si="23"/>
        <v>Nursery 2-A</v>
      </c>
      <c r="DF10" s="34">
        <f t="shared" ca="1" si="24"/>
        <v>759</v>
      </c>
      <c r="DG10" s="19">
        <f t="shared" ca="1" si="24"/>
        <v>2310</v>
      </c>
      <c r="DH10" s="19">
        <f t="shared" ca="1" si="24"/>
        <v>0</v>
      </c>
      <c r="DI10" s="19">
        <f t="shared" ca="1" si="24"/>
        <v>0</v>
      </c>
      <c r="DJ10" s="35">
        <f t="shared" ca="1" si="24"/>
        <v>2310</v>
      </c>
      <c r="DK10" s="36">
        <f t="shared" ca="1" si="25"/>
        <v>2310</v>
      </c>
      <c r="DL10" s="37">
        <f t="shared" ca="1" si="25"/>
        <v>3850.0000000000005</v>
      </c>
      <c r="DM10" s="37">
        <f t="shared" ca="1" si="25"/>
        <v>962.50000000000011</v>
      </c>
      <c r="DN10" s="37">
        <f t="shared" ca="1" si="25"/>
        <v>7122.5</v>
      </c>
      <c r="DO10" s="38">
        <f t="shared" ca="1" si="26"/>
        <v>9432.5</v>
      </c>
      <c r="DP10" s="39"/>
      <c r="DQ10" s="39"/>
      <c r="DR10" s="40">
        <f t="shared" si="27"/>
        <v>6</v>
      </c>
      <c r="DS10" s="19" t="str">
        <f t="shared" si="27"/>
        <v>Mrs</v>
      </c>
      <c r="DT10" s="19" t="str">
        <f t="shared" si="27"/>
        <v>CHEMO LAURIETTA BUVA</v>
      </c>
      <c r="DU10" s="41" t="str">
        <f t="shared" si="27"/>
        <v>Nursery 2-A</v>
      </c>
      <c r="DV10" s="42">
        <f t="shared" si="27"/>
        <v>0</v>
      </c>
      <c r="DW10" s="43">
        <f t="shared" si="27"/>
        <v>0</v>
      </c>
      <c r="DX10" s="44">
        <f t="shared" si="28"/>
        <v>0</v>
      </c>
      <c r="DY10" s="44">
        <f t="shared" si="27"/>
        <v>0</v>
      </c>
      <c r="DZ10" s="45">
        <f t="shared" si="29"/>
        <v>60000</v>
      </c>
      <c r="EA10" s="46"/>
      <c r="EB10" s="45"/>
      <c r="EC10" s="45">
        <v>15000</v>
      </c>
      <c r="ED10" s="45">
        <v>3000</v>
      </c>
      <c r="EE10" s="45"/>
      <c r="EF10" s="45"/>
      <c r="EG10" s="19">
        <f t="shared" si="30"/>
        <v>42000</v>
      </c>
      <c r="EH10" s="47" t="str">
        <f t="shared" si="31"/>
        <v>CHEMO LAURIETTA BUVA</v>
      </c>
    </row>
    <row r="11" spans="1:138" ht="12.75" customHeight="1">
      <c r="A11" s="1">
        <v>7</v>
      </c>
      <c r="B11" s="2" t="s">
        <v>0</v>
      </c>
      <c r="C11" s="1" t="s">
        <v>41</v>
      </c>
      <c r="D11" s="1"/>
      <c r="E11" s="1" t="s">
        <v>42</v>
      </c>
      <c r="F11" s="1"/>
      <c r="G11" s="1" t="s">
        <v>43</v>
      </c>
      <c r="H11" s="1" t="s">
        <v>44</v>
      </c>
      <c r="I11" s="3">
        <v>34844</v>
      </c>
      <c r="J11" s="3">
        <v>45170</v>
      </c>
      <c r="K11" s="3"/>
      <c r="L11" s="3"/>
      <c r="M11" s="3" t="s">
        <v>45</v>
      </c>
      <c r="N11" s="3" t="s">
        <v>46</v>
      </c>
      <c r="O11" s="4"/>
      <c r="P11" s="4">
        <v>672525711</v>
      </c>
      <c r="Q11" s="3" t="s">
        <v>8</v>
      </c>
      <c r="R11" s="8">
        <v>1</v>
      </c>
      <c r="S11" s="48"/>
      <c r="T11" s="49" t="s">
        <v>47</v>
      </c>
      <c r="U11" s="50">
        <f t="shared" si="1"/>
        <v>0</v>
      </c>
      <c r="V11" s="50">
        <f t="shared" si="1"/>
        <v>0</v>
      </c>
      <c r="W11" s="8">
        <f t="shared" si="1"/>
        <v>0</v>
      </c>
      <c r="X11" s="8">
        <f t="shared" si="1"/>
        <v>0</v>
      </c>
      <c r="Y11" s="51"/>
      <c r="Z11" s="52"/>
      <c r="AA11" s="53">
        <v>0.24623803009575923</v>
      </c>
      <c r="AB11" s="54"/>
      <c r="AC11" s="54">
        <v>35000</v>
      </c>
      <c r="AD11" s="55">
        <v>0</v>
      </c>
      <c r="AE11" s="13">
        <f t="shared" si="2"/>
        <v>35000</v>
      </c>
      <c r="AF11" s="57">
        <v>2500</v>
      </c>
      <c r="AG11" s="52">
        <v>2500</v>
      </c>
      <c r="AH11" s="58"/>
      <c r="AI11" s="54"/>
      <c r="AJ11" s="54"/>
      <c r="AK11" s="54"/>
      <c r="AL11" s="54"/>
      <c r="AM11" s="54"/>
      <c r="AN11" s="54"/>
      <c r="AO11" s="55"/>
      <c r="AP11" s="57">
        <f t="shared" si="3"/>
        <v>5000</v>
      </c>
      <c r="AQ11" s="52">
        <f t="shared" si="4"/>
        <v>40000</v>
      </c>
      <c r="AR11" s="55"/>
      <c r="AS11" s="59"/>
      <c r="AT11" s="52"/>
      <c r="AU11" s="52"/>
      <c r="AV11" s="54"/>
      <c r="AW11" s="54"/>
      <c r="AX11" s="54">
        <f ca="1">AE11*AX$8</f>
        <v>133</v>
      </c>
      <c r="AY11" s="54">
        <f ca="1">AE11*AY$8</f>
        <v>350</v>
      </c>
      <c r="AZ11" s="54">
        <f ca="1">AE11*AZ$8</f>
        <v>0</v>
      </c>
      <c r="BA11" s="54">
        <f t="shared" ca="1" si="5"/>
        <v>483</v>
      </c>
      <c r="BB11" s="54">
        <f ca="1">AE11*BB$8</f>
        <v>1470</v>
      </c>
      <c r="BC11" s="54">
        <f ca="1">AE11*BC$8</f>
        <v>0</v>
      </c>
      <c r="BD11" s="54">
        <f ca="1">AE11*BD$8</f>
        <v>0</v>
      </c>
      <c r="BE11" s="54">
        <f t="shared" ca="1" si="6"/>
        <v>1470</v>
      </c>
      <c r="BF11" s="54">
        <f ca="1">AE11*BF$8</f>
        <v>0</v>
      </c>
      <c r="BG11" s="54">
        <f ca="1">AE11*BG$8</f>
        <v>0</v>
      </c>
      <c r="BH11" s="54">
        <f ca="1">AE11*BH$8</f>
        <v>525</v>
      </c>
      <c r="BI11" s="54">
        <f ca="1">AE11*BI$8</f>
        <v>350</v>
      </c>
      <c r="BJ11" s="54">
        <f t="shared" ca="1" si="7"/>
        <v>875</v>
      </c>
      <c r="BK11" s="54">
        <f ca="1">AE11*BK$8</f>
        <v>1470</v>
      </c>
      <c r="BL11" s="54">
        <f ca="1">AE11*BL$8</f>
        <v>2450.0000000000005</v>
      </c>
      <c r="BM11" s="54">
        <f ca="1">AE11*BM$8</f>
        <v>612.50000000000011</v>
      </c>
      <c r="BN11" s="54">
        <f t="shared" ca="1" si="8"/>
        <v>4532.5000000000009</v>
      </c>
      <c r="BO11" s="54">
        <f t="shared" ca="1" si="9"/>
        <v>1358</v>
      </c>
      <c r="BP11" s="52">
        <f t="shared" ca="1" si="10"/>
        <v>6002.5000000000009</v>
      </c>
      <c r="BQ11" s="52">
        <f t="shared" ca="1" si="11"/>
        <v>7360.5000000000009</v>
      </c>
      <c r="BR11" s="54"/>
      <c r="BS11" s="54"/>
      <c r="BT11" s="60"/>
      <c r="BU11" s="61">
        <f t="shared" si="12"/>
        <v>7</v>
      </c>
      <c r="BV11" s="62" t="str">
        <f t="shared" si="12"/>
        <v>Mrs</v>
      </c>
      <c r="BW11" s="62" t="str">
        <f t="shared" si="12"/>
        <v>TENDONGZE NKEONGAFACK CHARYL MANYINGOCH</v>
      </c>
      <c r="BX11" s="63" t="str">
        <f t="shared" si="13"/>
        <v>Nursery 2 assistant</v>
      </c>
      <c r="BY11" s="64">
        <f t="shared" si="14"/>
        <v>0</v>
      </c>
      <c r="BZ11" s="64">
        <f t="shared" si="14"/>
        <v>0</v>
      </c>
      <c r="CA11" s="65">
        <f t="shared" si="14"/>
        <v>0</v>
      </c>
      <c r="CB11" s="66">
        <f t="shared" si="14"/>
        <v>0</v>
      </c>
      <c r="CC11" s="67">
        <f t="shared" si="15"/>
        <v>35000</v>
      </c>
      <c r="CD11" s="68">
        <f t="shared" si="16"/>
        <v>5000</v>
      </c>
      <c r="CE11" s="69">
        <f t="shared" ca="1" si="17"/>
        <v>1358</v>
      </c>
      <c r="CF11" s="70">
        <f t="shared" ca="1" si="17"/>
        <v>6002.5000000000009</v>
      </c>
      <c r="CG11" s="70">
        <f t="shared" ca="1" si="17"/>
        <v>7360.5000000000009</v>
      </c>
      <c r="CH11" s="65">
        <f t="shared" si="18"/>
        <v>40000</v>
      </c>
      <c r="CI11" s="71"/>
      <c r="CJ11" s="72"/>
      <c r="CK11" s="61">
        <f t="shared" si="19"/>
        <v>7</v>
      </c>
      <c r="CL11" s="62" t="str">
        <f t="shared" si="19"/>
        <v>Mrs</v>
      </c>
      <c r="CM11" s="62" t="str">
        <f t="shared" si="19"/>
        <v>TENDONGZE NKEONGAFACK CHARYL MANYINGOCH</v>
      </c>
      <c r="CN11" s="73" t="str">
        <f t="shared" si="19"/>
        <v>Nursery 2 assistant</v>
      </c>
      <c r="CO11" s="67">
        <f t="shared" si="20"/>
        <v>0</v>
      </c>
      <c r="CP11" s="65">
        <f t="shared" ca="1" si="20"/>
        <v>133</v>
      </c>
      <c r="CQ11" s="65">
        <f t="shared" ca="1" si="20"/>
        <v>350</v>
      </c>
      <c r="CR11" s="65">
        <f t="shared" ca="1" si="20"/>
        <v>0</v>
      </c>
      <c r="CS11" s="74">
        <f t="shared" ca="1" si="20"/>
        <v>483</v>
      </c>
      <c r="CT11" s="75">
        <f t="shared" ca="1" si="21"/>
        <v>0</v>
      </c>
      <c r="CU11" s="65">
        <f t="shared" ca="1" si="21"/>
        <v>0</v>
      </c>
      <c r="CV11" s="65">
        <f t="shared" ca="1" si="21"/>
        <v>525</v>
      </c>
      <c r="CW11" s="65">
        <f t="shared" ca="1" si="21"/>
        <v>350</v>
      </c>
      <c r="CX11" s="66">
        <f t="shared" ca="1" si="21"/>
        <v>875</v>
      </c>
      <c r="CY11" s="76">
        <f t="shared" ca="1" si="22"/>
        <v>1358</v>
      </c>
      <c r="CZ11" s="71"/>
      <c r="DA11" s="77"/>
      <c r="DB11" s="61">
        <f t="shared" si="23"/>
        <v>7</v>
      </c>
      <c r="DC11" s="62" t="str">
        <f t="shared" si="23"/>
        <v>Mrs</v>
      </c>
      <c r="DD11" s="62" t="str">
        <f t="shared" si="23"/>
        <v>TENDONGZE NKEONGAFACK CHARYL MANYINGOCH</v>
      </c>
      <c r="DE11" s="73" t="str">
        <f t="shared" si="23"/>
        <v>Nursery 2 assistant</v>
      </c>
      <c r="DF11" s="78">
        <f t="shared" ca="1" si="24"/>
        <v>483</v>
      </c>
      <c r="DG11" s="62">
        <f t="shared" ca="1" si="24"/>
        <v>1470</v>
      </c>
      <c r="DH11" s="62">
        <f t="shared" ca="1" si="24"/>
        <v>0</v>
      </c>
      <c r="DI11" s="62">
        <f t="shared" ca="1" si="24"/>
        <v>0</v>
      </c>
      <c r="DJ11" s="79">
        <f t="shared" ca="1" si="24"/>
        <v>1470</v>
      </c>
      <c r="DK11" s="80">
        <f t="shared" ca="1" si="25"/>
        <v>1470</v>
      </c>
      <c r="DL11" s="81">
        <f t="shared" ca="1" si="25"/>
        <v>2450.0000000000005</v>
      </c>
      <c r="DM11" s="82">
        <f t="shared" ca="1" si="25"/>
        <v>612.50000000000011</v>
      </c>
      <c r="DN11" s="81">
        <f t="shared" ca="1" si="25"/>
        <v>4532.5000000000009</v>
      </c>
      <c r="DO11" s="83">
        <f t="shared" ca="1" si="26"/>
        <v>6002.5000000000009</v>
      </c>
      <c r="DP11" s="84"/>
      <c r="DQ11" s="84"/>
      <c r="DR11" s="85">
        <f t="shared" si="27"/>
        <v>7</v>
      </c>
      <c r="DS11" s="62" t="str">
        <f t="shared" si="27"/>
        <v>Mrs</v>
      </c>
      <c r="DT11" s="62" t="str">
        <f t="shared" si="27"/>
        <v>TENDONGZE NKEONGAFACK CHARYL MANYINGOCH</v>
      </c>
      <c r="DU11" s="86" t="str">
        <f t="shared" si="27"/>
        <v>Nursery 2 assistant</v>
      </c>
      <c r="DV11" s="87">
        <f t="shared" si="27"/>
        <v>0</v>
      </c>
      <c r="DW11" s="88">
        <f t="shared" si="27"/>
        <v>0</v>
      </c>
      <c r="DX11" s="89">
        <f t="shared" si="28"/>
        <v>0</v>
      </c>
      <c r="DY11" s="89">
        <f t="shared" si="27"/>
        <v>0</v>
      </c>
      <c r="DZ11" s="90">
        <f t="shared" si="29"/>
        <v>40000</v>
      </c>
      <c r="EA11" s="91"/>
      <c r="EB11" s="90"/>
      <c r="EC11" s="90">
        <v>15000</v>
      </c>
      <c r="ED11" s="90">
        <v>3000</v>
      </c>
      <c r="EE11" s="45"/>
      <c r="EF11" s="90"/>
      <c r="EG11" s="62">
        <f t="shared" si="30"/>
        <v>22000</v>
      </c>
      <c r="EH11" s="47" t="str">
        <f t="shared" si="31"/>
        <v>TENDONGZE NKEONGAFACK CHARYL MANYINGOCH</v>
      </c>
    </row>
    <row r="12" spans="1:138" ht="12.75" customHeight="1">
      <c r="A12" s="1">
        <v>8</v>
      </c>
      <c r="B12" s="2" t="s">
        <v>48</v>
      </c>
      <c r="C12" s="1" t="s">
        <v>49</v>
      </c>
      <c r="D12" s="1"/>
      <c r="E12" s="1" t="s">
        <v>50</v>
      </c>
      <c r="F12" s="1"/>
      <c r="G12" s="1" t="s">
        <v>51</v>
      </c>
      <c r="H12" s="1" t="s">
        <v>52</v>
      </c>
      <c r="I12" s="3">
        <v>29399</v>
      </c>
      <c r="J12" s="3">
        <v>45170</v>
      </c>
      <c r="K12" s="3"/>
      <c r="L12" s="3"/>
      <c r="M12" s="3" t="s">
        <v>53</v>
      </c>
      <c r="N12" s="3" t="s">
        <v>25</v>
      </c>
      <c r="O12" s="4">
        <v>691058580</v>
      </c>
      <c r="P12" s="4"/>
      <c r="Q12" s="3" t="s">
        <v>26</v>
      </c>
      <c r="R12" s="5">
        <v>6</v>
      </c>
      <c r="S12" s="3" t="s">
        <v>39</v>
      </c>
      <c r="T12" s="6"/>
      <c r="U12" s="7">
        <f t="shared" si="1"/>
        <v>0</v>
      </c>
      <c r="V12" s="7">
        <f t="shared" si="1"/>
        <v>0</v>
      </c>
      <c r="W12" s="8">
        <f t="shared" si="1"/>
        <v>0</v>
      </c>
      <c r="X12" s="8">
        <f t="shared" si="1"/>
        <v>0</v>
      </c>
      <c r="Y12" s="9"/>
      <c r="Z12" s="10"/>
      <c r="AA12" s="11">
        <v>0.24623803009575923</v>
      </c>
      <c r="AB12" s="10"/>
      <c r="AC12" s="10">
        <v>35000</v>
      </c>
      <c r="AD12" s="12">
        <v>0</v>
      </c>
      <c r="AE12" s="13">
        <f t="shared" si="2"/>
        <v>35000</v>
      </c>
      <c r="AF12" s="14">
        <v>2500</v>
      </c>
      <c r="AG12" s="10">
        <v>2500</v>
      </c>
      <c r="AH12" s="10"/>
      <c r="AI12" s="10"/>
      <c r="AJ12" s="10"/>
      <c r="AK12" s="10"/>
      <c r="AL12" s="10"/>
      <c r="AM12" s="10"/>
      <c r="AN12" s="10"/>
      <c r="AO12" s="12"/>
      <c r="AP12" s="14">
        <f t="shared" si="3"/>
        <v>5000</v>
      </c>
      <c r="AQ12" s="10">
        <f t="shared" si="4"/>
        <v>40000</v>
      </c>
      <c r="AR12" s="12"/>
      <c r="AS12" s="15"/>
      <c r="AT12" s="16"/>
      <c r="AU12" s="16"/>
      <c r="AV12" s="10"/>
      <c r="AW12" s="10"/>
      <c r="AX12" s="10">
        <f ca="1">AE12*AX$8</f>
        <v>133</v>
      </c>
      <c r="AY12" s="10">
        <f ca="1">AE12*AY$8</f>
        <v>350</v>
      </c>
      <c r="AZ12" s="10">
        <f ca="1">AE12*AZ$8</f>
        <v>0</v>
      </c>
      <c r="BA12" s="10">
        <f t="shared" ca="1" si="5"/>
        <v>483</v>
      </c>
      <c r="BB12" s="10">
        <f ca="1">AE12*BB$8</f>
        <v>1470</v>
      </c>
      <c r="BC12" s="10">
        <f ca="1">AE12*BC$8</f>
        <v>0</v>
      </c>
      <c r="BD12" s="10">
        <f ca="1">AE12*BD$8</f>
        <v>0</v>
      </c>
      <c r="BE12" s="10">
        <f t="shared" ca="1" si="6"/>
        <v>1470</v>
      </c>
      <c r="BF12" s="10">
        <f ca="1">AE12*BF$8</f>
        <v>0</v>
      </c>
      <c r="BG12" s="10">
        <f ca="1">AE12*BG$8</f>
        <v>0</v>
      </c>
      <c r="BH12" s="10">
        <f ca="1">AE12*BH$8</f>
        <v>525</v>
      </c>
      <c r="BI12" s="10">
        <f ca="1">AE12*BI$8</f>
        <v>350</v>
      </c>
      <c r="BJ12" s="10">
        <f t="shared" ca="1" si="7"/>
        <v>875</v>
      </c>
      <c r="BK12" s="10">
        <f ca="1">AE12*BK$8</f>
        <v>1470</v>
      </c>
      <c r="BL12" s="10">
        <f ca="1">AE12*BL$8</f>
        <v>2450.0000000000005</v>
      </c>
      <c r="BM12" s="10">
        <f ca="1">AE12*BM$8</f>
        <v>612.50000000000011</v>
      </c>
      <c r="BN12" s="10">
        <f t="shared" ca="1" si="8"/>
        <v>4532.5000000000009</v>
      </c>
      <c r="BO12" s="10">
        <f t="shared" ca="1" si="9"/>
        <v>1358</v>
      </c>
      <c r="BP12" s="10">
        <f t="shared" ca="1" si="10"/>
        <v>6002.5000000000009</v>
      </c>
      <c r="BQ12" s="10">
        <f t="shared" ca="1" si="11"/>
        <v>7360.5000000000009</v>
      </c>
      <c r="BR12" s="10"/>
      <c r="BS12" s="10"/>
      <c r="BT12" s="17"/>
      <c r="BU12" s="18">
        <f t="shared" si="12"/>
        <v>8</v>
      </c>
      <c r="BV12" s="19" t="str">
        <f t="shared" si="12"/>
        <v>Mme</v>
      </c>
      <c r="BW12" s="19" t="str">
        <f t="shared" si="12"/>
        <v>MOUNA GOUYOUK épse TOUNOUMOU</v>
      </c>
      <c r="BX12" s="20" t="str">
        <f t="shared" si="13"/>
        <v>Petite section</v>
      </c>
      <c r="BY12" s="21">
        <f t="shared" si="14"/>
        <v>0</v>
      </c>
      <c r="BZ12" s="21">
        <f t="shared" si="14"/>
        <v>0</v>
      </c>
      <c r="CA12" s="22">
        <f t="shared" si="14"/>
        <v>0</v>
      </c>
      <c r="CB12" s="23">
        <f t="shared" si="14"/>
        <v>0</v>
      </c>
      <c r="CC12" s="24">
        <f t="shared" si="15"/>
        <v>35000</v>
      </c>
      <c r="CD12" s="31">
        <f t="shared" si="16"/>
        <v>5000</v>
      </c>
      <c r="CE12" s="26">
        <f t="shared" ca="1" si="17"/>
        <v>1358</v>
      </c>
      <c r="CF12" s="22">
        <f t="shared" ca="1" si="17"/>
        <v>6002.5000000000009</v>
      </c>
      <c r="CG12" s="22">
        <f t="shared" ca="1" si="17"/>
        <v>7360.5000000000009</v>
      </c>
      <c r="CH12" s="22">
        <f t="shared" si="18"/>
        <v>40000</v>
      </c>
      <c r="CI12" s="28"/>
      <c r="CJ12" s="29"/>
      <c r="CK12" s="18">
        <f t="shared" si="19"/>
        <v>8</v>
      </c>
      <c r="CL12" s="19" t="str">
        <f t="shared" si="19"/>
        <v>Mme</v>
      </c>
      <c r="CM12" s="19" t="str">
        <f t="shared" si="19"/>
        <v>MOUNA GOUYOUK épse TOUNOUMOU</v>
      </c>
      <c r="CN12" s="30" t="str">
        <f t="shared" si="19"/>
        <v>Petite section</v>
      </c>
      <c r="CO12" s="24">
        <f t="shared" si="20"/>
        <v>0</v>
      </c>
      <c r="CP12" s="22">
        <f t="shared" ca="1" si="20"/>
        <v>133</v>
      </c>
      <c r="CQ12" s="22">
        <f t="shared" ca="1" si="20"/>
        <v>350</v>
      </c>
      <c r="CR12" s="22">
        <f t="shared" ca="1" si="20"/>
        <v>0</v>
      </c>
      <c r="CS12" s="31">
        <f t="shared" ca="1" si="20"/>
        <v>483</v>
      </c>
      <c r="CT12" s="26">
        <f t="shared" ca="1" si="21"/>
        <v>0</v>
      </c>
      <c r="CU12" s="22">
        <f t="shared" ca="1" si="21"/>
        <v>0</v>
      </c>
      <c r="CV12" s="22">
        <f t="shared" ca="1" si="21"/>
        <v>525</v>
      </c>
      <c r="CW12" s="22">
        <f t="shared" ca="1" si="21"/>
        <v>350</v>
      </c>
      <c r="CX12" s="23">
        <f t="shared" ca="1" si="21"/>
        <v>875</v>
      </c>
      <c r="CY12" s="32">
        <f t="shared" ca="1" si="22"/>
        <v>1358</v>
      </c>
      <c r="CZ12" s="28"/>
      <c r="DA12" s="33"/>
      <c r="DB12" s="18">
        <f t="shared" si="23"/>
        <v>8</v>
      </c>
      <c r="DC12" s="19" t="str">
        <f t="shared" si="23"/>
        <v>Mme</v>
      </c>
      <c r="DD12" s="19" t="str">
        <f t="shared" si="23"/>
        <v>MOUNA GOUYOUK épse TOUNOUMOU</v>
      </c>
      <c r="DE12" s="30" t="str">
        <f t="shared" si="23"/>
        <v>Petite section</v>
      </c>
      <c r="DF12" s="34">
        <f t="shared" ca="1" si="24"/>
        <v>483</v>
      </c>
      <c r="DG12" s="19">
        <f t="shared" ca="1" si="24"/>
        <v>1470</v>
      </c>
      <c r="DH12" s="19">
        <f t="shared" ca="1" si="24"/>
        <v>0</v>
      </c>
      <c r="DI12" s="19">
        <f t="shared" ca="1" si="24"/>
        <v>0</v>
      </c>
      <c r="DJ12" s="35">
        <f t="shared" ca="1" si="24"/>
        <v>1470</v>
      </c>
      <c r="DK12" s="36">
        <f t="shared" ca="1" si="25"/>
        <v>1470</v>
      </c>
      <c r="DL12" s="37">
        <f t="shared" ca="1" si="25"/>
        <v>2450.0000000000005</v>
      </c>
      <c r="DM12" s="37">
        <f t="shared" ca="1" si="25"/>
        <v>612.50000000000011</v>
      </c>
      <c r="DN12" s="37">
        <f t="shared" ca="1" si="25"/>
        <v>4532.5000000000009</v>
      </c>
      <c r="DO12" s="38">
        <f t="shared" ca="1" si="26"/>
        <v>6002.5000000000009</v>
      </c>
      <c r="DP12" s="39"/>
      <c r="DQ12" s="39"/>
      <c r="DR12" s="40">
        <f t="shared" si="27"/>
        <v>8</v>
      </c>
      <c r="DS12" s="19" t="str">
        <f t="shared" si="27"/>
        <v>Mme</v>
      </c>
      <c r="DT12" s="19" t="str">
        <f t="shared" si="27"/>
        <v>MOUNA GOUYOUK épse TOUNOUMOU</v>
      </c>
      <c r="DU12" s="41" t="str">
        <f t="shared" si="27"/>
        <v>Petite section</v>
      </c>
      <c r="DV12" s="42">
        <f t="shared" si="27"/>
        <v>0</v>
      </c>
      <c r="DW12" s="43">
        <f t="shared" si="27"/>
        <v>0</v>
      </c>
      <c r="DX12" s="44">
        <f t="shared" si="28"/>
        <v>0</v>
      </c>
      <c r="DY12" s="44">
        <f t="shared" si="27"/>
        <v>0</v>
      </c>
      <c r="DZ12" s="45">
        <f t="shared" si="29"/>
        <v>40000</v>
      </c>
      <c r="EA12" s="46"/>
      <c r="EB12" s="45"/>
      <c r="EC12" s="45">
        <v>15000</v>
      </c>
      <c r="ED12" s="45">
        <v>3000</v>
      </c>
      <c r="EE12" s="45"/>
      <c r="EF12" s="45"/>
      <c r="EG12" s="19">
        <f t="shared" si="30"/>
        <v>22000</v>
      </c>
      <c r="EH12" s="47" t="str">
        <f t="shared" si="31"/>
        <v>MOUNA GOUYOUK épse TOUNOUMOU</v>
      </c>
    </row>
    <row r="13" spans="1:138" ht="12.75" customHeight="1">
      <c r="A13" s="1">
        <v>9</v>
      </c>
      <c r="B13" s="2" t="s">
        <v>0</v>
      </c>
      <c r="C13" s="1" t="s">
        <v>54</v>
      </c>
      <c r="D13" s="1" t="s">
        <v>50</v>
      </c>
      <c r="E13" s="1" t="s">
        <v>55</v>
      </c>
      <c r="F13" s="1" t="s">
        <v>56</v>
      </c>
      <c r="G13" s="1" t="s">
        <v>57</v>
      </c>
      <c r="H13" s="1" t="s">
        <v>58</v>
      </c>
      <c r="I13" s="3">
        <v>37166</v>
      </c>
      <c r="J13" s="3">
        <v>44440</v>
      </c>
      <c r="K13" s="3"/>
      <c r="L13" s="3">
        <v>59081</v>
      </c>
      <c r="M13" s="3" t="s">
        <v>59</v>
      </c>
      <c r="N13" s="3" t="s">
        <v>60</v>
      </c>
      <c r="O13" s="4">
        <v>655643489</v>
      </c>
      <c r="P13" s="4"/>
      <c r="Q13" s="3" t="s">
        <v>8</v>
      </c>
      <c r="R13" s="8">
        <v>0</v>
      </c>
      <c r="S13" s="48" t="s">
        <v>39</v>
      </c>
      <c r="T13" s="49" t="s">
        <v>61</v>
      </c>
      <c r="U13" s="50">
        <f t="shared" si="1"/>
        <v>0</v>
      </c>
      <c r="V13" s="50">
        <f t="shared" si="1"/>
        <v>0</v>
      </c>
      <c r="W13" s="8">
        <f t="shared" si="1"/>
        <v>0</v>
      </c>
      <c r="X13" s="8">
        <f t="shared" si="1"/>
        <v>0</v>
      </c>
      <c r="Y13" s="51"/>
      <c r="Z13" s="52"/>
      <c r="AA13" s="53">
        <v>2.243502051983584</v>
      </c>
      <c r="AB13" s="54"/>
      <c r="AC13" s="54">
        <v>43000</v>
      </c>
      <c r="AD13" s="55">
        <v>2000</v>
      </c>
      <c r="AE13" s="13">
        <f t="shared" si="2"/>
        <v>45000</v>
      </c>
      <c r="AF13" s="57">
        <v>2500</v>
      </c>
      <c r="AG13" s="52">
        <v>2500</v>
      </c>
      <c r="AH13" s="58"/>
      <c r="AI13" s="54"/>
      <c r="AJ13" s="54"/>
      <c r="AK13" s="54"/>
      <c r="AL13" s="54"/>
      <c r="AM13" s="54"/>
      <c r="AN13" s="54"/>
      <c r="AO13" s="55"/>
      <c r="AP13" s="57">
        <f t="shared" si="3"/>
        <v>5000</v>
      </c>
      <c r="AQ13" s="52">
        <f t="shared" si="4"/>
        <v>50000</v>
      </c>
      <c r="AR13" s="55"/>
      <c r="AS13" s="59"/>
      <c r="AT13" s="52"/>
      <c r="AU13" s="52"/>
      <c r="AV13" s="54"/>
      <c r="AW13" s="54"/>
      <c r="AX13" s="54">
        <f ca="1">AE13*AX$8</f>
        <v>171</v>
      </c>
      <c r="AY13" s="54">
        <f ca="1">AE13*AY$8</f>
        <v>450</v>
      </c>
      <c r="AZ13" s="54">
        <f ca="1">AE13*AZ$8</f>
        <v>0</v>
      </c>
      <c r="BA13" s="54">
        <f t="shared" ca="1" si="5"/>
        <v>621</v>
      </c>
      <c r="BB13" s="54">
        <f ca="1">AE13*BB$8</f>
        <v>1890.0000000000002</v>
      </c>
      <c r="BC13" s="54">
        <f ca="1">AE13*BC$8</f>
        <v>0</v>
      </c>
      <c r="BD13" s="54">
        <f ca="1">AE13*BD$8</f>
        <v>0</v>
      </c>
      <c r="BE13" s="54">
        <f t="shared" ca="1" si="6"/>
        <v>1890.0000000000002</v>
      </c>
      <c r="BF13" s="54">
        <f ca="1">AE13*BF$8</f>
        <v>0</v>
      </c>
      <c r="BG13" s="54">
        <f ca="1">AE13*BG$8</f>
        <v>0</v>
      </c>
      <c r="BH13" s="54">
        <f ca="1">AE13*BH$8</f>
        <v>675</v>
      </c>
      <c r="BI13" s="54">
        <f ca="1">AE13*BI$8</f>
        <v>450</v>
      </c>
      <c r="BJ13" s="54">
        <f t="shared" ca="1" si="7"/>
        <v>1125</v>
      </c>
      <c r="BK13" s="54">
        <f ca="1">AE13*BK$8</f>
        <v>1890.0000000000002</v>
      </c>
      <c r="BL13" s="54">
        <f ca="1">AE13*BL$8</f>
        <v>3150.0000000000005</v>
      </c>
      <c r="BM13" s="54">
        <f ca="1">AE13*BM$8</f>
        <v>787.50000000000011</v>
      </c>
      <c r="BN13" s="54">
        <f t="shared" ca="1" si="8"/>
        <v>5827.5000000000009</v>
      </c>
      <c r="BO13" s="54">
        <f t="shared" ca="1" si="9"/>
        <v>1746</v>
      </c>
      <c r="BP13" s="52">
        <f t="shared" ca="1" si="10"/>
        <v>7717.5000000000009</v>
      </c>
      <c r="BQ13" s="52">
        <f t="shared" ca="1" si="11"/>
        <v>9463.5</v>
      </c>
      <c r="BR13" s="54"/>
      <c r="BS13" s="54"/>
      <c r="BT13" s="60"/>
      <c r="BU13" s="61">
        <f t="shared" si="12"/>
        <v>9</v>
      </c>
      <c r="BV13" s="62" t="str">
        <f t="shared" si="12"/>
        <v>Mrs</v>
      </c>
      <c r="BW13" s="62" t="str">
        <f t="shared" si="12"/>
        <v>ATEBA ELOUANGUE AMANDINE</v>
      </c>
      <c r="BX13" s="63" t="str">
        <f t="shared" si="13"/>
        <v>Moyenne section</v>
      </c>
      <c r="BY13" s="64">
        <f t="shared" si="14"/>
        <v>0</v>
      </c>
      <c r="BZ13" s="64">
        <f t="shared" si="14"/>
        <v>0</v>
      </c>
      <c r="CA13" s="65">
        <f t="shared" si="14"/>
        <v>0</v>
      </c>
      <c r="CB13" s="66">
        <f t="shared" si="14"/>
        <v>0</v>
      </c>
      <c r="CC13" s="67">
        <f t="shared" si="15"/>
        <v>45000</v>
      </c>
      <c r="CD13" s="68">
        <f t="shared" si="16"/>
        <v>5000</v>
      </c>
      <c r="CE13" s="69">
        <f t="shared" ca="1" si="17"/>
        <v>1746</v>
      </c>
      <c r="CF13" s="70">
        <f t="shared" ca="1" si="17"/>
        <v>7717.5000000000009</v>
      </c>
      <c r="CG13" s="70">
        <f t="shared" ca="1" si="17"/>
        <v>9463.5</v>
      </c>
      <c r="CH13" s="65">
        <f t="shared" si="18"/>
        <v>50000</v>
      </c>
      <c r="CI13" s="71"/>
      <c r="CJ13" s="72"/>
      <c r="CK13" s="61">
        <f t="shared" si="19"/>
        <v>9</v>
      </c>
      <c r="CL13" s="62" t="str">
        <f t="shared" si="19"/>
        <v>Mrs</v>
      </c>
      <c r="CM13" s="62" t="str">
        <f t="shared" si="19"/>
        <v>ATEBA ELOUANGUE AMANDINE</v>
      </c>
      <c r="CN13" s="73" t="str">
        <f t="shared" si="19"/>
        <v>Moyenne section</v>
      </c>
      <c r="CO13" s="67">
        <f t="shared" si="20"/>
        <v>0</v>
      </c>
      <c r="CP13" s="65">
        <f t="shared" ca="1" si="20"/>
        <v>171</v>
      </c>
      <c r="CQ13" s="65">
        <f t="shared" ca="1" si="20"/>
        <v>450</v>
      </c>
      <c r="CR13" s="65">
        <f t="shared" ca="1" si="20"/>
        <v>0</v>
      </c>
      <c r="CS13" s="74">
        <f t="shared" ca="1" si="20"/>
        <v>621</v>
      </c>
      <c r="CT13" s="75">
        <f t="shared" ca="1" si="21"/>
        <v>0</v>
      </c>
      <c r="CU13" s="65">
        <f t="shared" ca="1" si="21"/>
        <v>0</v>
      </c>
      <c r="CV13" s="65">
        <f t="shared" ca="1" si="21"/>
        <v>675</v>
      </c>
      <c r="CW13" s="65">
        <f t="shared" ca="1" si="21"/>
        <v>450</v>
      </c>
      <c r="CX13" s="66">
        <f t="shared" ca="1" si="21"/>
        <v>1125</v>
      </c>
      <c r="CY13" s="76">
        <f t="shared" ca="1" si="22"/>
        <v>1746</v>
      </c>
      <c r="CZ13" s="71"/>
      <c r="DA13" s="77"/>
      <c r="DB13" s="61">
        <f t="shared" si="23"/>
        <v>9</v>
      </c>
      <c r="DC13" s="62" t="str">
        <f t="shared" si="23"/>
        <v>Mrs</v>
      </c>
      <c r="DD13" s="62" t="str">
        <f t="shared" si="23"/>
        <v>ATEBA ELOUANGUE AMANDINE</v>
      </c>
      <c r="DE13" s="73" t="str">
        <f t="shared" si="23"/>
        <v>Moyenne section</v>
      </c>
      <c r="DF13" s="78">
        <f t="shared" ca="1" si="24"/>
        <v>621</v>
      </c>
      <c r="DG13" s="62">
        <f t="shared" ca="1" si="24"/>
        <v>1890.0000000000002</v>
      </c>
      <c r="DH13" s="62">
        <f t="shared" ca="1" si="24"/>
        <v>0</v>
      </c>
      <c r="DI13" s="62">
        <f t="shared" ca="1" si="24"/>
        <v>0</v>
      </c>
      <c r="DJ13" s="79">
        <f t="shared" ca="1" si="24"/>
        <v>1890.0000000000002</v>
      </c>
      <c r="DK13" s="80">
        <f t="shared" ca="1" si="25"/>
        <v>1890.0000000000002</v>
      </c>
      <c r="DL13" s="81">
        <f t="shared" ca="1" si="25"/>
        <v>3150.0000000000005</v>
      </c>
      <c r="DM13" s="82">
        <f t="shared" ca="1" si="25"/>
        <v>787.50000000000011</v>
      </c>
      <c r="DN13" s="81">
        <f t="shared" ca="1" si="25"/>
        <v>5827.5000000000009</v>
      </c>
      <c r="DO13" s="83">
        <f t="shared" ca="1" si="26"/>
        <v>7717.5000000000009</v>
      </c>
      <c r="DP13" s="84"/>
      <c r="DQ13" s="84"/>
      <c r="DR13" s="85">
        <f t="shared" si="27"/>
        <v>9</v>
      </c>
      <c r="DS13" s="62" t="str">
        <f t="shared" si="27"/>
        <v>Mrs</v>
      </c>
      <c r="DT13" s="62" t="str">
        <f t="shared" si="27"/>
        <v>ATEBA ELOUANGUE AMANDINE</v>
      </c>
      <c r="DU13" s="86" t="str">
        <f t="shared" si="27"/>
        <v>Moyenne section</v>
      </c>
      <c r="DV13" s="87">
        <f t="shared" si="27"/>
        <v>0</v>
      </c>
      <c r="DW13" s="88">
        <f t="shared" si="27"/>
        <v>0</v>
      </c>
      <c r="DX13" s="89">
        <f t="shared" si="28"/>
        <v>0</v>
      </c>
      <c r="DY13" s="89">
        <f t="shared" si="27"/>
        <v>0</v>
      </c>
      <c r="DZ13" s="90">
        <f t="shared" si="29"/>
        <v>50000</v>
      </c>
      <c r="EA13" s="91"/>
      <c r="EB13" s="90"/>
      <c r="EC13" s="90">
        <v>15000</v>
      </c>
      <c r="ED13" s="90">
        <v>3000</v>
      </c>
      <c r="EE13" s="45"/>
      <c r="EF13" s="90"/>
      <c r="EG13" s="62">
        <f t="shared" si="30"/>
        <v>32000</v>
      </c>
      <c r="EH13" s="47" t="str">
        <f t="shared" si="31"/>
        <v>ATEBA ELOUANGUE AMANDINE</v>
      </c>
    </row>
    <row r="14" spans="1:138" ht="12.75" customHeight="1">
      <c r="A14" s="1">
        <v>10</v>
      </c>
      <c r="B14" s="2" t="s">
        <v>62</v>
      </c>
      <c r="C14" s="1" t="s">
        <v>63</v>
      </c>
      <c r="D14" s="1" t="s">
        <v>64</v>
      </c>
      <c r="E14" s="1" t="s">
        <v>65</v>
      </c>
      <c r="F14" s="1"/>
      <c r="G14" s="1" t="s">
        <v>66</v>
      </c>
      <c r="H14" s="1" t="s">
        <v>67</v>
      </c>
      <c r="I14" s="3">
        <v>33673</v>
      </c>
      <c r="J14" s="3">
        <v>42248</v>
      </c>
      <c r="K14" s="3"/>
      <c r="L14" s="3">
        <v>55588</v>
      </c>
      <c r="M14" s="3" t="s">
        <v>68</v>
      </c>
      <c r="N14" s="3" t="s">
        <v>60</v>
      </c>
      <c r="O14" s="4">
        <v>659113244</v>
      </c>
      <c r="P14" s="4">
        <v>654179636</v>
      </c>
      <c r="Q14" s="3" t="s">
        <v>8</v>
      </c>
      <c r="R14" s="5">
        <v>3</v>
      </c>
      <c r="S14" s="3" t="s">
        <v>39</v>
      </c>
      <c r="T14" s="6" t="s">
        <v>69</v>
      </c>
      <c r="U14" s="7">
        <f t="shared" si="1"/>
        <v>0</v>
      </c>
      <c r="V14" s="7">
        <f t="shared" si="1"/>
        <v>0</v>
      </c>
      <c r="W14" s="8">
        <f t="shared" si="1"/>
        <v>0</v>
      </c>
      <c r="X14" s="8">
        <f t="shared" si="1"/>
        <v>0</v>
      </c>
      <c r="Y14" s="9"/>
      <c r="Z14" s="10"/>
      <c r="AA14" s="11">
        <v>8.2407660738714092</v>
      </c>
      <c r="AB14" s="10"/>
      <c r="AC14" s="10">
        <v>52000</v>
      </c>
      <c r="AD14" s="12">
        <v>8000</v>
      </c>
      <c r="AE14" s="13">
        <f t="shared" si="2"/>
        <v>60000</v>
      </c>
      <c r="AF14" s="14">
        <v>2500</v>
      </c>
      <c r="AG14" s="10">
        <v>2500</v>
      </c>
      <c r="AH14" s="10"/>
      <c r="AI14" s="10"/>
      <c r="AJ14" s="10"/>
      <c r="AK14" s="10"/>
      <c r="AL14" s="10"/>
      <c r="AM14" s="10"/>
      <c r="AN14" s="10"/>
      <c r="AO14" s="12"/>
      <c r="AP14" s="14">
        <f t="shared" si="3"/>
        <v>5000</v>
      </c>
      <c r="AQ14" s="10">
        <f t="shared" si="4"/>
        <v>65000</v>
      </c>
      <c r="AR14" s="12"/>
      <c r="AS14" s="15"/>
      <c r="AT14" s="16"/>
      <c r="AU14" s="16"/>
      <c r="AV14" s="10"/>
      <c r="AW14" s="10"/>
      <c r="AX14" s="10">
        <f ca="1">AE14*AX$8</f>
        <v>228</v>
      </c>
      <c r="AY14" s="10">
        <f ca="1">AE14*AY$8</f>
        <v>600</v>
      </c>
      <c r="AZ14" s="10">
        <f ca="1">AE14*AZ$8</f>
        <v>0</v>
      </c>
      <c r="BA14" s="10">
        <f t="shared" ca="1" si="5"/>
        <v>828</v>
      </c>
      <c r="BB14" s="10">
        <f ca="1">AE14*BB$8</f>
        <v>2520</v>
      </c>
      <c r="BC14" s="10">
        <f ca="1">AE14*BC$8</f>
        <v>0</v>
      </c>
      <c r="BD14" s="10">
        <f ca="1">AE14*BD$8</f>
        <v>0</v>
      </c>
      <c r="BE14" s="10">
        <f t="shared" ca="1" si="6"/>
        <v>2520</v>
      </c>
      <c r="BF14" s="10">
        <f ca="1">AE14*BF$8</f>
        <v>0</v>
      </c>
      <c r="BG14" s="10">
        <f ca="1">AE14*BG$8</f>
        <v>0</v>
      </c>
      <c r="BH14" s="10">
        <f ca="1">AE14*BH$8</f>
        <v>900</v>
      </c>
      <c r="BI14" s="10">
        <f ca="1">AE14*BI$8</f>
        <v>600</v>
      </c>
      <c r="BJ14" s="10">
        <f t="shared" ca="1" si="7"/>
        <v>1500</v>
      </c>
      <c r="BK14" s="10">
        <f ca="1">AE14*BK$8</f>
        <v>2520</v>
      </c>
      <c r="BL14" s="10">
        <f ca="1">AE14*BL$8</f>
        <v>4200</v>
      </c>
      <c r="BM14" s="10">
        <f ca="1">AE14*BM$8</f>
        <v>1050</v>
      </c>
      <c r="BN14" s="10">
        <f t="shared" ca="1" si="8"/>
        <v>7770</v>
      </c>
      <c r="BO14" s="10">
        <f t="shared" ca="1" si="9"/>
        <v>2328</v>
      </c>
      <c r="BP14" s="10">
        <f t="shared" ca="1" si="10"/>
        <v>10290</v>
      </c>
      <c r="BQ14" s="16">
        <f t="shared" ca="1" si="11"/>
        <v>12618</v>
      </c>
      <c r="BR14" s="10"/>
      <c r="BS14" s="10"/>
      <c r="BT14" s="17"/>
      <c r="BU14" s="18">
        <f t="shared" si="12"/>
        <v>10</v>
      </c>
      <c r="BV14" s="19" t="str">
        <f t="shared" si="12"/>
        <v>Mlle</v>
      </c>
      <c r="BW14" s="19" t="str">
        <f t="shared" si="12"/>
        <v>TANKE NDONGO SALOME HORTENSE</v>
      </c>
      <c r="BX14" s="20" t="str">
        <f t="shared" si="13"/>
        <v>Grande section</v>
      </c>
      <c r="BY14" s="21">
        <f t="shared" si="14"/>
        <v>0</v>
      </c>
      <c r="BZ14" s="21">
        <f t="shared" si="14"/>
        <v>0</v>
      </c>
      <c r="CA14" s="22">
        <f t="shared" si="14"/>
        <v>0</v>
      </c>
      <c r="CB14" s="23">
        <f t="shared" si="14"/>
        <v>0</v>
      </c>
      <c r="CC14" s="24">
        <f t="shared" si="15"/>
        <v>60000</v>
      </c>
      <c r="CD14" s="31">
        <f t="shared" si="16"/>
        <v>5000</v>
      </c>
      <c r="CE14" s="26">
        <f t="shared" ca="1" si="17"/>
        <v>2328</v>
      </c>
      <c r="CF14" s="22">
        <f t="shared" ca="1" si="17"/>
        <v>10290</v>
      </c>
      <c r="CG14" s="22">
        <f t="shared" ca="1" si="17"/>
        <v>12618</v>
      </c>
      <c r="CH14" s="22">
        <f t="shared" si="18"/>
        <v>65000</v>
      </c>
      <c r="CI14" s="28"/>
      <c r="CJ14" s="29"/>
      <c r="CK14" s="18">
        <f t="shared" si="19"/>
        <v>10</v>
      </c>
      <c r="CL14" s="19" t="str">
        <f t="shared" si="19"/>
        <v>Mlle</v>
      </c>
      <c r="CM14" s="19" t="str">
        <f t="shared" si="19"/>
        <v>TANKE NDONGO SALOME HORTENSE</v>
      </c>
      <c r="CN14" s="30" t="str">
        <f t="shared" si="19"/>
        <v>Grande section</v>
      </c>
      <c r="CO14" s="24">
        <f t="shared" si="20"/>
        <v>0</v>
      </c>
      <c r="CP14" s="22">
        <f t="shared" ca="1" si="20"/>
        <v>228</v>
      </c>
      <c r="CQ14" s="22">
        <f t="shared" ca="1" si="20"/>
        <v>600</v>
      </c>
      <c r="CR14" s="22">
        <f t="shared" ca="1" si="20"/>
        <v>0</v>
      </c>
      <c r="CS14" s="31">
        <f t="shared" ca="1" si="20"/>
        <v>828</v>
      </c>
      <c r="CT14" s="26">
        <f t="shared" ca="1" si="21"/>
        <v>0</v>
      </c>
      <c r="CU14" s="22">
        <f t="shared" ca="1" si="21"/>
        <v>0</v>
      </c>
      <c r="CV14" s="22">
        <f t="shared" ca="1" si="21"/>
        <v>900</v>
      </c>
      <c r="CW14" s="22">
        <f t="shared" ca="1" si="21"/>
        <v>600</v>
      </c>
      <c r="CX14" s="23">
        <f t="shared" ca="1" si="21"/>
        <v>1500</v>
      </c>
      <c r="CY14" s="32">
        <f t="shared" ca="1" si="22"/>
        <v>2328</v>
      </c>
      <c r="CZ14" s="28"/>
      <c r="DA14" s="33"/>
      <c r="DB14" s="18">
        <f t="shared" si="23"/>
        <v>10</v>
      </c>
      <c r="DC14" s="19" t="str">
        <f t="shared" si="23"/>
        <v>Mlle</v>
      </c>
      <c r="DD14" s="19" t="str">
        <f t="shared" si="23"/>
        <v>TANKE NDONGO SALOME HORTENSE</v>
      </c>
      <c r="DE14" s="30" t="str">
        <f t="shared" si="23"/>
        <v>Grande section</v>
      </c>
      <c r="DF14" s="34">
        <f t="shared" ca="1" si="24"/>
        <v>828</v>
      </c>
      <c r="DG14" s="19">
        <f t="shared" ca="1" si="24"/>
        <v>2520</v>
      </c>
      <c r="DH14" s="19">
        <f t="shared" ca="1" si="24"/>
        <v>0</v>
      </c>
      <c r="DI14" s="19">
        <f t="shared" ca="1" si="24"/>
        <v>0</v>
      </c>
      <c r="DJ14" s="35">
        <f t="shared" ca="1" si="24"/>
        <v>2520</v>
      </c>
      <c r="DK14" s="36">
        <f t="shared" ca="1" si="25"/>
        <v>2520</v>
      </c>
      <c r="DL14" s="37">
        <f t="shared" ca="1" si="25"/>
        <v>4200</v>
      </c>
      <c r="DM14" s="37">
        <f t="shared" ca="1" si="25"/>
        <v>1050</v>
      </c>
      <c r="DN14" s="37">
        <f t="shared" ca="1" si="25"/>
        <v>7770</v>
      </c>
      <c r="DO14" s="38">
        <f t="shared" ca="1" si="26"/>
        <v>10290</v>
      </c>
      <c r="DP14" s="39"/>
      <c r="DQ14" s="39"/>
      <c r="DR14" s="40">
        <f t="shared" si="27"/>
        <v>10</v>
      </c>
      <c r="DS14" s="19" t="str">
        <f t="shared" si="27"/>
        <v>Mlle</v>
      </c>
      <c r="DT14" s="19" t="str">
        <f t="shared" si="27"/>
        <v>TANKE NDONGO SALOME HORTENSE</v>
      </c>
      <c r="DU14" s="41" t="str">
        <f t="shared" si="27"/>
        <v>Grande section</v>
      </c>
      <c r="DV14" s="42">
        <f t="shared" si="27"/>
        <v>0</v>
      </c>
      <c r="DW14" s="43">
        <f t="shared" si="27"/>
        <v>0</v>
      </c>
      <c r="DX14" s="44">
        <f t="shared" si="28"/>
        <v>0</v>
      </c>
      <c r="DY14" s="89">
        <f t="shared" si="27"/>
        <v>0</v>
      </c>
      <c r="DZ14" s="45">
        <f t="shared" si="29"/>
        <v>65000</v>
      </c>
      <c r="EA14" s="46"/>
      <c r="EB14" s="45"/>
      <c r="EC14" s="45">
        <v>15000</v>
      </c>
      <c r="ED14" s="45">
        <v>3000</v>
      </c>
      <c r="EE14" s="45"/>
      <c r="EF14" s="45"/>
      <c r="EG14" s="19">
        <f t="shared" si="30"/>
        <v>47000</v>
      </c>
      <c r="EH14" s="47" t="str">
        <f t="shared" si="31"/>
        <v>TANKE NDONGO SALOME HORTENSE</v>
      </c>
    </row>
    <row r="15" spans="1:138" ht="16.5" customHeight="1">
      <c r="A15" s="1">
        <v>42</v>
      </c>
      <c r="B15" s="2" t="s">
        <v>62</v>
      </c>
      <c r="C15" s="1" t="s">
        <v>144</v>
      </c>
      <c r="D15" s="1"/>
      <c r="E15" s="1" t="s">
        <v>145</v>
      </c>
      <c r="F15" s="1"/>
      <c r="G15" s="1" t="s">
        <v>146</v>
      </c>
      <c r="H15" s="1"/>
      <c r="I15" s="3"/>
      <c r="J15" s="3"/>
      <c r="K15" s="3"/>
      <c r="L15" s="3"/>
      <c r="M15" s="3"/>
      <c r="N15" s="3"/>
      <c r="O15" s="4"/>
      <c r="P15" s="4"/>
      <c r="Q15" s="3"/>
      <c r="R15" s="5"/>
      <c r="S15" s="3"/>
      <c r="T15" s="6"/>
      <c r="U15" s="50">
        <f t="shared" si="1"/>
        <v>0</v>
      </c>
      <c r="V15" s="50">
        <f t="shared" si="1"/>
        <v>0</v>
      </c>
      <c r="W15" s="8">
        <f t="shared" si="1"/>
        <v>0</v>
      </c>
      <c r="X15" s="8">
        <f t="shared" si="1"/>
        <v>0</v>
      </c>
      <c r="Y15" s="9"/>
      <c r="Z15" s="10"/>
      <c r="AA15" s="229"/>
      <c r="AB15" s="10"/>
      <c r="AC15" s="10">
        <v>45000</v>
      </c>
      <c r="AD15" s="12"/>
      <c r="AE15" s="13">
        <f t="shared" si="2"/>
        <v>45000</v>
      </c>
      <c r="AF15" s="14"/>
      <c r="AG15" s="10"/>
      <c r="AH15" s="10"/>
      <c r="AI15" s="10"/>
      <c r="AJ15" s="10"/>
      <c r="AK15" s="10"/>
      <c r="AL15" s="10"/>
      <c r="AM15" s="10"/>
      <c r="AN15" s="10"/>
      <c r="AO15" s="12"/>
      <c r="AP15" s="14">
        <f t="shared" si="3"/>
        <v>0</v>
      </c>
      <c r="AQ15" s="10">
        <f t="shared" si="4"/>
        <v>45000</v>
      </c>
      <c r="AR15" s="12"/>
      <c r="AS15" s="15"/>
      <c r="AT15" s="16"/>
      <c r="AU15" s="16"/>
      <c r="AV15" s="10"/>
      <c r="AW15" s="10"/>
      <c r="AX15" s="10">
        <f t="shared" ref="AX15" si="32">AE15*AX$4</f>
        <v>171</v>
      </c>
      <c r="AY15" s="10">
        <f t="shared" ref="AY15" si="33">AE15*AY$4</f>
        <v>450</v>
      </c>
      <c r="AZ15" s="10">
        <f t="shared" ref="AZ15" si="34">AE15*AZ$4</f>
        <v>0</v>
      </c>
      <c r="BA15" s="10">
        <f t="shared" si="5"/>
        <v>621</v>
      </c>
      <c r="BB15" s="10">
        <f t="shared" ref="BB15" si="35">AE15*BB$4</f>
        <v>1890.0000000000002</v>
      </c>
      <c r="BC15" s="10">
        <f t="shared" ref="BC15" si="36">AE15*BC$4</f>
        <v>0</v>
      </c>
      <c r="BD15" s="10">
        <f t="shared" ref="BD15" si="37">AE15*BD$4</f>
        <v>0</v>
      </c>
      <c r="BE15" s="10">
        <f t="shared" si="6"/>
        <v>1890.0000000000002</v>
      </c>
      <c r="BF15" s="10">
        <f t="shared" ref="BF15" si="38">AE15*BF$4</f>
        <v>0</v>
      </c>
      <c r="BG15" s="10">
        <f t="shared" ref="BG15" si="39">AE15*BG$4</f>
        <v>0</v>
      </c>
      <c r="BH15" s="10">
        <f t="shared" ref="BH15" si="40">AE15*BH$4</f>
        <v>675</v>
      </c>
      <c r="BI15" s="10">
        <f t="shared" ref="BI15" si="41">AE15*BI$4</f>
        <v>450</v>
      </c>
      <c r="BJ15" s="10">
        <f t="shared" si="7"/>
        <v>1125</v>
      </c>
      <c r="BK15" s="10">
        <f t="shared" ref="BK15" si="42">AE15*BK$4</f>
        <v>1890.0000000000002</v>
      </c>
      <c r="BL15" s="10">
        <f t="shared" ref="BL15" si="43">AE15*BL$4</f>
        <v>3150.0000000000005</v>
      </c>
      <c r="BM15" s="10">
        <f t="shared" ref="BM15" si="44">AE15*BM$4</f>
        <v>787.50000000000011</v>
      </c>
      <c r="BN15" s="10">
        <f t="shared" si="8"/>
        <v>5827.5000000000009</v>
      </c>
      <c r="BO15" s="10">
        <f t="shared" si="9"/>
        <v>1746</v>
      </c>
      <c r="BP15" s="10">
        <f t="shared" si="10"/>
        <v>7717.5000000000009</v>
      </c>
      <c r="BQ15" s="10">
        <f t="shared" si="11"/>
        <v>9463.5</v>
      </c>
      <c r="BR15" s="10"/>
      <c r="BS15" s="10"/>
      <c r="BT15" s="17"/>
      <c r="BU15" s="18">
        <f t="shared" si="12"/>
        <v>42</v>
      </c>
      <c r="BV15" s="19" t="str">
        <f t="shared" si="12"/>
        <v>Mlle</v>
      </c>
      <c r="BW15" s="19" t="str">
        <f t="shared" si="12"/>
        <v>NANGA TSIGUE EMELINE VARTAN</v>
      </c>
      <c r="BX15" s="20" t="str">
        <f t="shared" si="13"/>
        <v>Assistante GS</v>
      </c>
      <c r="BY15" s="21">
        <f t="shared" si="14"/>
        <v>0</v>
      </c>
      <c r="BZ15" s="21">
        <f t="shared" si="14"/>
        <v>0</v>
      </c>
      <c r="CA15" s="22">
        <f t="shared" si="14"/>
        <v>0</v>
      </c>
      <c r="CB15" s="23">
        <f t="shared" si="14"/>
        <v>0</v>
      </c>
      <c r="CC15" s="24">
        <f t="shared" si="15"/>
        <v>45000</v>
      </c>
      <c r="CD15" s="31">
        <f t="shared" si="16"/>
        <v>0</v>
      </c>
      <c r="CE15" s="26">
        <f t="shared" si="17"/>
        <v>1746</v>
      </c>
      <c r="CF15" s="22">
        <f t="shared" si="17"/>
        <v>7717.5000000000009</v>
      </c>
      <c r="CG15" s="22">
        <f t="shared" si="17"/>
        <v>9463.5</v>
      </c>
      <c r="CH15" s="22">
        <f t="shared" si="18"/>
        <v>45000</v>
      </c>
      <c r="CI15" s="28"/>
      <c r="CJ15" s="29"/>
      <c r="CK15" s="18">
        <f t="shared" si="19"/>
        <v>42</v>
      </c>
      <c r="CL15" s="19" t="str">
        <f t="shared" si="19"/>
        <v>Mlle</v>
      </c>
      <c r="CM15" s="19" t="str">
        <f t="shared" si="19"/>
        <v>NANGA TSIGUE EMELINE VARTAN</v>
      </c>
      <c r="CN15" s="30" t="str">
        <f t="shared" si="19"/>
        <v>Assistante GS</v>
      </c>
      <c r="CO15" s="24">
        <f t="shared" si="20"/>
        <v>0</v>
      </c>
      <c r="CP15" s="22">
        <f t="shared" si="20"/>
        <v>171</v>
      </c>
      <c r="CQ15" s="22">
        <f t="shared" si="20"/>
        <v>450</v>
      </c>
      <c r="CR15" s="22">
        <f t="shared" si="20"/>
        <v>0</v>
      </c>
      <c r="CS15" s="31">
        <f t="shared" si="20"/>
        <v>621</v>
      </c>
      <c r="CT15" s="26">
        <f t="shared" si="21"/>
        <v>0</v>
      </c>
      <c r="CU15" s="22">
        <f t="shared" si="21"/>
        <v>0</v>
      </c>
      <c r="CV15" s="22">
        <f t="shared" si="21"/>
        <v>675</v>
      </c>
      <c r="CW15" s="22">
        <f t="shared" si="21"/>
        <v>450</v>
      </c>
      <c r="CX15" s="23">
        <f t="shared" si="21"/>
        <v>1125</v>
      </c>
      <c r="CY15" s="32">
        <f t="shared" si="22"/>
        <v>1746</v>
      </c>
      <c r="CZ15" s="28"/>
      <c r="DA15" s="33"/>
      <c r="DB15" s="18">
        <f t="shared" si="23"/>
        <v>42</v>
      </c>
      <c r="DC15" s="19" t="str">
        <f t="shared" si="23"/>
        <v>Mlle</v>
      </c>
      <c r="DD15" s="19" t="str">
        <f t="shared" si="23"/>
        <v>NANGA TSIGUE EMELINE VARTAN</v>
      </c>
      <c r="DE15" s="30" t="str">
        <f t="shared" si="23"/>
        <v>Assistante GS</v>
      </c>
      <c r="DF15" s="34">
        <f t="shared" si="24"/>
        <v>621</v>
      </c>
      <c r="DG15" s="19">
        <f t="shared" si="24"/>
        <v>1890.0000000000002</v>
      </c>
      <c r="DH15" s="19">
        <f t="shared" si="24"/>
        <v>0</v>
      </c>
      <c r="DI15" s="19">
        <f t="shared" si="24"/>
        <v>0</v>
      </c>
      <c r="DJ15" s="35">
        <f t="shared" si="24"/>
        <v>1890.0000000000002</v>
      </c>
      <c r="DK15" s="36">
        <f t="shared" si="25"/>
        <v>1890.0000000000002</v>
      </c>
      <c r="DL15" s="37">
        <f t="shared" si="25"/>
        <v>3150.0000000000005</v>
      </c>
      <c r="DM15" s="37">
        <f t="shared" si="25"/>
        <v>787.50000000000011</v>
      </c>
      <c r="DN15" s="37">
        <f t="shared" si="25"/>
        <v>5827.5000000000009</v>
      </c>
      <c r="DO15" s="38">
        <f t="shared" si="26"/>
        <v>7717.5000000000009</v>
      </c>
      <c r="DP15" s="39"/>
      <c r="DQ15" s="39"/>
      <c r="DR15" s="40">
        <f t="shared" si="27"/>
        <v>42</v>
      </c>
      <c r="DS15" s="19" t="str">
        <f t="shared" si="27"/>
        <v>Mlle</v>
      </c>
      <c r="DT15" s="62" t="str">
        <f t="shared" si="27"/>
        <v>NANGA TSIGUE EMELINE VARTAN</v>
      </c>
      <c r="DU15" s="41" t="str">
        <f t="shared" si="27"/>
        <v>Assistante GS</v>
      </c>
      <c r="DV15" s="42">
        <f t="shared" si="27"/>
        <v>0</v>
      </c>
      <c r="DW15" s="43">
        <f t="shared" si="27"/>
        <v>0</v>
      </c>
      <c r="DX15" s="44">
        <f t="shared" si="28"/>
        <v>0</v>
      </c>
      <c r="DY15" s="89">
        <f t="shared" si="27"/>
        <v>0</v>
      </c>
      <c r="DZ15" s="45">
        <f t="shared" si="29"/>
        <v>45000</v>
      </c>
      <c r="EA15" s="46"/>
      <c r="EB15" s="45"/>
      <c r="EC15" s="45"/>
      <c r="ED15" s="45"/>
      <c r="EE15" s="45"/>
      <c r="EF15" s="45"/>
      <c r="EG15" s="19">
        <f t="shared" si="30"/>
        <v>45000</v>
      </c>
      <c r="EH15" s="47" t="str">
        <f t="shared" si="31"/>
        <v>NANGA TSIGUE EMELINE VARTAN</v>
      </c>
    </row>
  </sheetData>
  <mergeCells count="10">
    <mergeCell ref="EB2:EG2"/>
    <mergeCell ref="CT1:CY1"/>
    <mergeCell ref="DK1:DO1"/>
    <mergeCell ref="AW2:BE2"/>
    <mergeCell ref="BF2:BN2"/>
    <mergeCell ref="CD2:CH2"/>
    <mergeCell ref="CO2:CS2"/>
    <mergeCell ref="CT2:CX2"/>
    <mergeCell ref="DF2:DJ2"/>
    <mergeCell ref="DK2:DN2"/>
  </mergeCells>
  <conditionalFormatting sqref="F12">
    <cfRule type="duplicateValues" dxfId="3" priority="2"/>
  </conditionalFormatting>
  <conditionalFormatting sqref="F6:F10 F13:F14">
    <cfRule type="duplicateValues" dxfId="2" priority="4"/>
  </conditionalFormatting>
  <conditionalFormatting sqref="F11">
    <cfRule type="duplicateValues" dxfId="1" priority="3"/>
  </conditionalFormatting>
  <conditionalFormatting sqref="F1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TCHIOFFOUO</dc:creator>
  <cp:lastModifiedBy>SAMUEL TCHIOFFOUO</cp:lastModifiedBy>
  <dcterms:created xsi:type="dcterms:W3CDTF">2026-08-16T10:00:37Z</dcterms:created>
  <dcterms:modified xsi:type="dcterms:W3CDTF">2026-08-16T10:06:08Z</dcterms:modified>
</cp:coreProperties>
</file>